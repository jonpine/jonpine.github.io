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/programs/jonpine.github.io/content/notes/travel/"/>
    </mc:Choice>
  </mc:AlternateContent>
  <xr:revisionPtr revIDLastSave="0" documentId="13_ncr:1_{CA10249E-7232-B946-87D6-C7FA1C71D1F7}" xr6:coauthVersionLast="47" xr6:coauthVersionMax="47" xr10:uidLastSave="{00000000-0000-0000-0000-000000000000}"/>
  <bookViews>
    <workbookView xWindow="0" yWindow="760" windowWidth="34560" windowHeight="21580" activeTab="4" xr2:uid="{FBDD8960-5B88-4843-A147-F58767FB427D}"/>
  </bookViews>
  <sheets>
    <sheet name="Checklist" sheetId="10" r:id="rId1"/>
    <sheet name="Poland" sheetId="2" r:id="rId2"/>
    <sheet name="Japan" sheetId="14" r:id="rId3"/>
    <sheet name="Baltics" sheetId="13" r:id="rId4"/>
    <sheet name="Netherlands" sheetId="32" r:id="rId5"/>
    <sheet name="Denmark" sheetId="36" r:id="rId6"/>
    <sheet name="Sweden" sheetId="37" r:id="rId7"/>
    <sheet name="Italy" sheetId="35" r:id="rId8"/>
    <sheet name="Bayern" sheetId="38" r:id="rId9"/>
    <sheet name="Austria" sheetId="39" r:id="rId10"/>
    <sheet name="Belgium" sheetId="40" r:id="rId11"/>
    <sheet name="Rhine" sheetId="4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32" l="1"/>
  <c r="G85" i="32"/>
  <c r="I61" i="32"/>
  <c r="H61" i="32"/>
  <c r="G61" i="32"/>
  <c r="G59" i="39"/>
  <c r="H47" i="37"/>
  <c r="G47" i="37"/>
  <c r="H60" i="41"/>
  <c r="G60" i="41"/>
  <c r="I41" i="41"/>
  <c r="H41" i="41"/>
  <c r="G41" i="41"/>
  <c r="P28" i="41"/>
  <c r="P21" i="41"/>
  <c r="O21" i="41"/>
  <c r="L11" i="41"/>
  <c r="G11" i="41"/>
  <c r="F11" i="41"/>
  <c r="O9" i="41"/>
  <c r="L10" i="40"/>
  <c r="H10" i="40"/>
  <c r="L9" i="40"/>
  <c r="H9" i="40"/>
  <c r="L8" i="40"/>
  <c r="H8" i="40"/>
  <c r="L7" i="40"/>
  <c r="H7" i="40"/>
  <c r="L6" i="40"/>
  <c r="H6" i="40"/>
  <c r="L5" i="40"/>
  <c r="H5" i="40"/>
  <c r="L4" i="40"/>
  <c r="H4" i="40"/>
  <c r="H99" i="40"/>
  <c r="G99" i="40"/>
  <c r="I74" i="40"/>
  <c r="H74" i="40"/>
  <c r="G74" i="40"/>
  <c r="P28" i="40"/>
  <c r="P21" i="40"/>
  <c r="O21" i="40"/>
  <c r="L15" i="40"/>
  <c r="G15" i="40"/>
  <c r="F15" i="40"/>
  <c r="O9" i="40"/>
  <c r="L6" i="39"/>
  <c r="H6" i="39"/>
  <c r="L5" i="39"/>
  <c r="H5" i="39"/>
  <c r="L4" i="39"/>
  <c r="H4" i="39"/>
  <c r="H59" i="39"/>
  <c r="I48" i="39"/>
  <c r="H48" i="39"/>
  <c r="G48" i="39"/>
  <c r="P28" i="39"/>
  <c r="P21" i="39"/>
  <c r="O21" i="39"/>
  <c r="L10" i="39"/>
  <c r="G10" i="39"/>
  <c r="F10" i="39"/>
  <c r="O9" i="39"/>
  <c r="H62" i="38"/>
  <c r="G62" i="38"/>
  <c r="I47" i="38"/>
  <c r="H47" i="38"/>
  <c r="G47" i="38"/>
  <c r="P28" i="38"/>
  <c r="P21" i="38"/>
  <c r="O21" i="38"/>
  <c r="G9" i="38"/>
  <c r="F9" i="38"/>
  <c r="O9" i="38"/>
  <c r="L9" i="38"/>
  <c r="L6" i="37"/>
  <c r="H6" i="37"/>
  <c r="L5" i="37"/>
  <c r="H5" i="37"/>
  <c r="L4" i="37"/>
  <c r="H4" i="37"/>
  <c r="H66" i="37"/>
  <c r="G66" i="37"/>
  <c r="I47" i="37"/>
  <c r="P28" i="37"/>
  <c r="P21" i="37"/>
  <c r="O21" i="37"/>
  <c r="G11" i="37"/>
  <c r="F11" i="37"/>
  <c r="O9" i="37"/>
  <c r="L11" i="37"/>
  <c r="L6" i="36"/>
  <c r="H6" i="36"/>
  <c r="L5" i="36"/>
  <c r="H5" i="36"/>
  <c r="L4" i="36"/>
  <c r="H4" i="36"/>
  <c r="H62" i="36"/>
  <c r="G62" i="36"/>
  <c r="I43" i="36"/>
  <c r="H43" i="36"/>
  <c r="G43" i="36"/>
  <c r="P28" i="36"/>
  <c r="P21" i="36"/>
  <c r="O21" i="36"/>
  <c r="L10" i="36"/>
  <c r="G10" i="36"/>
  <c r="F10" i="36"/>
  <c r="O9" i="36"/>
  <c r="G94" i="35"/>
  <c r="H94" i="35"/>
  <c r="I94" i="35"/>
  <c r="H119" i="35"/>
  <c r="G119" i="35"/>
  <c r="P28" i="35"/>
  <c r="P21" i="35"/>
  <c r="O21" i="35"/>
  <c r="O9" i="35"/>
  <c r="G15" i="35"/>
  <c r="F15" i="35"/>
  <c r="O21" i="32"/>
  <c r="P28" i="32"/>
  <c r="O9" i="32"/>
  <c r="O38" i="39" l="1"/>
  <c r="Q38" i="39" s="1"/>
  <c r="N38" i="37"/>
  <c r="O38" i="41"/>
  <c r="Q38" i="41" s="1"/>
  <c r="N38" i="41"/>
  <c r="H11" i="41"/>
  <c r="O38" i="40"/>
  <c r="Q38" i="40" s="1"/>
  <c r="N38" i="40"/>
  <c r="H15" i="40"/>
  <c r="N38" i="39"/>
  <c r="H10" i="39"/>
  <c r="O38" i="38"/>
  <c r="Q38" i="38" s="1"/>
  <c r="N38" i="38"/>
  <c r="H9" i="38"/>
  <c r="O38" i="37"/>
  <c r="Q38" i="37" s="1"/>
  <c r="H11" i="37"/>
  <c r="O38" i="36"/>
  <c r="Q38" i="36" s="1"/>
  <c r="N38" i="36"/>
  <c r="H10" i="36"/>
  <c r="O38" i="35"/>
  <c r="Q38" i="35" s="1"/>
  <c r="N38" i="35"/>
  <c r="L15" i="35"/>
  <c r="H15" i="35" s="1"/>
  <c r="L7" i="32"/>
  <c r="H7" i="32" s="1"/>
  <c r="L6" i="32"/>
  <c r="H6" i="32" s="1"/>
  <c r="L5" i="32"/>
  <c r="H5" i="32" s="1"/>
  <c r="L4" i="32"/>
  <c r="H4" i="32" s="1"/>
  <c r="G9" i="32"/>
  <c r="P21" i="32" l="1"/>
  <c r="F9" i="32"/>
  <c r="L9" i="32"/>
  <c r="O38" i="32" l="1"/>
  <c r="Q38" i="32" s="1"/>
  <c r="N38" i="32"/>
  <c r="H9" i="32"/>
  <c r="O39" i="13" l="1"/>
  <c r="N39" i="13"/>
  <c r="Q39" i="13"/>
  <c r="O18" i="14"/>
  <c r="P18" i="14"/>
  <c r="N17" i="2"/>
  <c r="O17" i="2"/>
  <c r="H110" i="13"/>
  <c r="G110" i="13"/>
  <c r="O22" i="13"/>
  <c r="P22" i="13"/>
  <c r="H82" i="13"/>
  <c r="G12" i="13"/>
  <c r="P29" i="13"/>
  <c r="G82" i="13"/>
  <c r="L5" i="13"/>
  <c r="H5" i="13" s="1"/>
  <c r="F12" i="13" l="1"/>
  <c r="L4" i="13"/>
  <c r="H4" i="13" s="1"/>
  <c r="M31" i="2"/>
  <c r="H57" i="14"/>
  <c r="G112" i="14"/>
  <c r="L10" i="13"/>
  <c r="H10" i="13" s="1"/>
  <c r="H112" i="14"/>
  <c r="G9" i="14" l="1"/>
  <c r="N35" i="14" s="1"/>
  <c r="L6" i="14"/>
  <c r="L4" i="14"/>
  <c r="N31" i="2"/>
  <c r="P25" i="14"/>
  <c r="G57" i="14"/>
  <c r="F9" i="14"/>
  <c r="O7" i="14"/>
  <c r="L8" i="14"/>
  <c r="L7" i="14"/>
  <c r="L5" i="14"/>
  <c r="L7" i="13"/>
  <c r="H7" i="13" s="1"/>
  <c r="O7" i="13"/>
  <c r="L9" i="13"/>
  <c r="H9" i="13" s="1"/>
  <c r="L8" i="13"/>
  <c r="H8" i="13" s="1"/>
  <c r="L6" i="13"/>
  <c r="H6" i="13" s="1"/>
  <c r="N9" i="2"/>
  <c r="G23" i="2"/>
  <c r="G17" i="2"/>
  <c r="G15" i="2"/>
  <c r="G14" i="2"/>
  <c r="G24" i="2"/>
  <c r="G22" i="2"/>
  <c r="P15" i="2"/>
  <c r="J8" i="2"/>
  <c r="F38" i="2"/>
  <c r="F26" i="2"/>
  <c r="F8" i="2"/>
  <c r="G32" i="2"/>
  <c r="G33" i="2"/>
  <c r="G34" i="2"/>
  <c r="G35" i="2"/>
  <c r="G36" i="2"/>
  <c r="G37" i="2"/>
  <c r="G31" i="2"/>
  <c r="P14" i="2"/>
  <c r="P13" i="2"/>
  <c r="P17" i="2" s="1"/>
  <c r="O24" i="2"/>
  <c r="E26" i="2"/>
  <c r="G25" i="2"/>
  <c r="G20" i="2"/>
  <c r="G19" i="2"/>
  <c r="G18" i="2"/>
  <c r="G16" i="2"/>
  <c r="G13" i="2"/>
  <c r="H5" i="2"/>
  <c r="G8" i="2"/>
  <c r="H7" i="2"/>
  <c r="H6" i="2"/>
  <c r="H4" i="2"/>
  <c r="L12" i="13" l="1"/>
  <c r="H12" i="13" s="1"/>
  <c r="O35" i="14"/>
  <c r="L9" i="14"/>
  <c r="G26" i="2"/>
  <c r="G38" i="2"/>
  <c r="H8" i="2"/>
</calcChain>
</file>

<file path=xl/sharedStrings.xml><?xml version="1.0" encoding="utf-8"?>
<sst xmlns="http://schemas.openxmlformats.org/spreadsheetml/2006/main" count="2454" uniqueCount="879">
  <si>
    <t>Check In</t>
  </si>
  <si>
    <t>Check out</t>
  </si>
  <si>
    <t>Place</t>
  </si>
  <si>
    <t>Name</t>
  </si>
  <si>
    <t>Cost</t>
  </si>
  <si>
    <t>Nights</t>
  </si>
  <si>
    <t>Status</t>
  </si>
  <si>
    <t>Remark</t>
  </si>
  <si>
    <t>Gdansk</t>
  </si>
  <si>
    <t>World Hostel</t>
  </si>
  <si>
    <t>Actual Cost</t>
  </si>
  <si>
    <t>ICICI</t>
  </si>
  <si>
    <t>Y</t>
  </si>
  <si>
    <t>Warsaw</t>
  </si>
  <si>
    <t>Inbed Hostel</t>
  </si>
  <si>
    <t>Wroclaw</t>
  </si>
  <si>
    <t>Babel Hostel</t>
  </si>
  <si>
    <t>N</t>
  </si>
  <si>
    <t>Krakow</t>
  </si>
  <si>
    <t>Dream Hostel</t>
  </si>
  <si>
    <t>Date</t>
  </si>
  <si>
    <t>City</t>
  </si>
  <si>
    <t>Timings</t>
  </si>
  <si>
    <t>WW2 Museum</t>
  </si>
  <si>
    <t>Malbork</t>
  </si>
  <si>
    <t>Malbork Castle</t>
  </si>
  <si>
    <t>Polin Museum</t>
  </si>
  <si>
    <t>Uprising Museum</t>
  </si>
  <si>
    <t>Wieliczka</t>
  </si>
  <si>
    <t>Salt Mine</t>
  </si>
  <si>
    <t>Katowice</t>
  </si>
  <si>
    <t>Guido Coal Mine</t>
  </si>
  <si>
    <t>Route</t>
  </si>
  <si>
    <t>Travel</t>
  </si>
  <si>
    <t>Cost (Train)</t>
  </si>
  <si>
    <t>Timing (Train)</t>
  </si>
  <si>
    <t>Timing (Bus)</t>
  </si>
  <si>
    <t>Total</t>
  </si>
  <si>
    <t>Flights</t>
  </si>
  <si>
    <t>BLR-Gdansk</t>
  </si>
  <si>
    <t>39208 was OP</t>
  </si>
  <si>
    <t>Krakow-BLR</t>
  </si>
  <si>
    <t>8 KG Hand Luggage</t>
  </si>
  <si>
    <t>20K saving option</t>
  </si>
  <si>
    <t>Visa Related</t>
  </si>
  <si>
    <t>Item</t>
  </si>
  <si>
    <t>TMI</t>
  </si>
  <si>
    <t>Paid double</t>
  </si>
  <si>
    <t>Visa</t>
  </si>
  <si>
    <t>VFS</t>
  </si>
  <si>
    <t>Flight to HYD</t>
  </si>
  <si>
    <t>Train to BLR</t>
  </si>
  <si>
    <t>Extra</t>
  </si>
  <si>
    <t>Incurred</t>
  </si>
  <si>
    <t>Jakdojade</t>
  </si>
  <si>
    <t>Cash</t>
  </si>
  <si>
    <t>Buy rate</t>
  </si>
  <si>
    <t>TOTAL</t>
  </si>
  <si>
    <t>0805-0833</t>
  </si>
  <si>
    <t>0805-1115</t>
  </si>
  <si>
    <t>0724-1154</t>
  </si>
  <si>
    <t>0926-1259</t>
  </si>
  <si>
    <t>0801-0928</t>
  </si>
  <si>
    <t>Tentative</t>
  </si>
  <si>
    <t>Cost (PLN)</t>
  </si>
  <si>
    <t>From</t>
  </si>
  <si>
    <t>To</t>
  </si>
  <si>
    <t>Accomodation</t>
  </si>
  <si>
    <t>Attractions</t>
  </si>
  <si>
    <t>Pass/Cards/Apps</t>
  </si>
  <si>
    <t>Powisle 300m</t>
  </si>
  <si>
    <t>Glowny 650 m</t>
  </si>
  <si>
    <t>Zablocie 1200m</t>
  </si>
  <si>
    <t>Tokyo</t>
  </si>
  <si>
    <t>Osaka</t>
  </si>
  <si>
    <t>Kyoto</t>
  </si>
  <si>
    <t>JPY</t>
  </si>
  <si>
    <t>Ubigi Sim</t>
  </si>
  <si>
    <t>Shibuya Sky</t>
  </si>
  <si>
    <t>Kamakura</t>
  </si>
  <si>
    <t>Hasedara Temple</t>
  </si>
  <si>
    <t>Nara</t>
  </si>
  <si>
    <t>Tombori River Cruise</t>
  </si>
  <si>
    <t>Himeji</t>
  </si>
  <si>
    <t>Himeji Castle</t>
  </si>
  <si>
    <t>Tokyo National Museum</t>
  </si>
  <si>
    <t>Kobe</t>
  </si>
  <si>
    <t>Shinjuku Gyoen Garden</t>
  </si>
  <si>
    <t>BLR-NRT</t>
  </si>
  <si>
    <t>KIX-BLR</t>
  </si>
  <si>
    <t>EUR</t>
  </si>
  <si>
    <t>Hiroshima</t>
  </si>
  <si>
    <t>Miyajima</t>
  </si>
  <si>
    <t>Peace Memorial Museum</t>
  </si>
  <si>
    <t>Quantity</t>
  </si>
  <si>
    <t>Jeans</t>
  </si>
  <si>
    <t>Packing Cubes</t>
  </si>
  <si>
    <t>Fleece Jacket</t>
  </si>
  <si>
    <t>Rain Jacket</t>
  </si>
  <si>
    <t>Socks</t>
  </si>
  <si>
    <t>Pen</t>
  </si>
  <si>
    <t>Face Wash</t>
  </si>
  <si>
    <t>Moisturizer</t>
  </si>
  <si>
    <t>Body lotion</t>
  </si>
  <si>
    <t>Neck Pillow</t>
  </si>
  <si>
    <t>Charger</t>
  </si>
  <si>
    <t>Wet Wipes</t>
  </si>
  <si>
    <t>Tissue Paper</t>
  </si>
  <si>
    <t>Tooth Brush</t>
  </si>
  <si>
    <t>Tooth Paste</t>
  </si>
  <si>
    <t>Credit Cards</t>
  </si>
  <si>
    <t>Clothing</t>
  </si>
  <si>
    <t>Toilieteries</t>
  </si>
  <si>
    <t>Miscellaneous</t>
  </si>
  <si>
    <t>Inner Wear</t>
  </si>
  <si>
    <t>Shampoo</t>
  </si>
  <si>
    <t>Conditioner</t>
  </si>
  <si>
    <t>Deodarant</t>
  </si>
  <si>
    <t>Flip flops</t>
  </si>
  <si>
    <t>Shirts</t>
  </si>
  <si>
    <t>Walking shoes</t>
  </si>
  <si>
    <t>Hat/Cap</t>
  </si>
  <si>
    <t>Body Wash</t>
  </si>
  <si>
    <t>Sunscreen</t>
  </si>
  <si>
    <t>Lip Balm</t>
  </si>
  <si>
    <t>Hand Sanitizer</t>
  </si>
  <si>
    <t>Passport</t>
  </si>
  <si>
    <t>Travel Tickets</t>
  </si>
  <si>
    <t>Essentials</t>
  </si>
  <si>
    <t>Phone</t>
  </si>
  <si>
    <t>Power Bank</t>
  </si>
  <si>
    <t>Ear phones</t>
  </si>
  <si>
    <t>Eye Mask</t>
  </si>
  <si>
    <t>Sun glasses</t>
  </si>
  <si>
    <t>Laundry detergent</t>
  </si>
  <si>
    <t>Darn Tough Tactical Socks</t>
  </si>
  <si>
    <t>Brands</t>
  </si>
  <si>
    <t>BackPack</t>
  </si>
  <si>
    <t>Shorts</t>
  </si>
  <si>
    <t>Wash bag</t>
  </si>
  <si>
    <t>1 pair</t>
  </si>
  <si>
    <t>Pyjamas</t>
  </si>
  <si>
    <t>Bermudas</t>
  </si>
  <si>
    <t>Bandaids</t>
  </si>
  <si>
    <t>Pain Killers</t>
  </si>
  <si>
    <t>D</t>
  </si>
  <si>
    <t>Day Pack</t>
  </si>
  <si>
    <t>Adapter Plugs</t>
  </si>
  <si>
    <t>Snacks</t>
  </si>
  <si>
    <t>Protein Bars</t>
  </si>
  <si>
    <t>Peanuts</t>
  </si>
  <si>
    <t>Small Umbrella</t>
  </si>
  <si>
    <t>Padlock</t>
  </si>
  <si>
    <t>Travel Towel</t>
  </si>
  <si>
    <t>3 pairs</t>
  </si>
  <si>
    <t>T-Shirt Short Sleeves</t>
  </si>
  <si>
    <t>T-Shirt Full Sleeves</t>
  </si>
  <si>
    <t>Sleeping Shorts</t>
  </si>
  <si>
    <t>Sleeping T-Shirts</t>
  </si>
  <si>
    <t>Neospirin</t>
  </si>
  <si>
    <t>First Aids</t>
  </si>
  <si>
    <t>Schindler's Factory</t>
  </si>
  <si>
    <t>Rynek Museum</t>
  </si>
  <si>
    <t>Town Hall Tower</t>
  </si>
  <si>
    <t>4 pairs</t>
  </si>
  <si>
    <t>Solidarity Center</t>
  </si>
  <si>
    <t>Boat Ride</t>
  </si>
  <si>
    <t>Chopin Boutique</t>
  </si>
  <si>
    <t>Kopiec Koscuszki</t>
  </si>
  <si>
    <t>Food &amp; Stuff</t>
  </si>
  <si>
    <t>Glowny 450m</t>
  </si>
  <si>
    <t>Tallinn</t>
  </si>
  <si>
    <t>Tartu</t>
  </si>
  <si>
    <t>Riga</t>
  </si>
  <si>
    <t>Klaipeda</t>
  </si>
  <si>
    <t>Vilnius</t>
  </si>
  <si>
    <t>Sigulda</t>
  </si>
  <si>
    <t>Cesis</t>
  </si>
  <si>
    <t>Kadriorg Art Museum</t>
  </si>
  <si>
    <t>Kumu Art Museum</t>
  </si>
  <si>
    <t>AHHAA Science Center</t>
  </si>
  <si>
    <t>Estonian National Museum</t>
  </si>
  <si>
    <t>Niguliste Museum</t>
  </si>
  <si>
    <t>Estonian War Museum</t>
  </si>
  <si>
    <t>Trakai</t>
  </si>
  <si>
    <t>Kaunas</t>
  </si>
  <si>
    <t>Trakai Castle</t>
  </si>
  <si>
    <t>Smiltyne</t>
  </si>
  <si>
    <t>Nida</t>
  </si>
  <si>
    <t>Velo Bike Rental</t>
  </si>
  <si>
    <t>Bus</t>
  </si>
  <si>
    <t>Ferry</t>
  </si>
  <si>
    <t>St. Peter's Church</t>
  </si>
  <si>
    <t>Church + Tower</t>
  </si>
  <si>
    <t>Lahemma National Park</t>
  </si>
  <si>
    <t>Timing</t>
  </si>
  <si>
    <t>Medium</t>
  </si>
  <si>
    <t>Day</t>
  </si>
  <si>
    <t>Wed</t>
  </si>
  <si>
    <t>Thu</t>
  </si>
  <si>
    <t>Palace of Grand Dukes</t>
  </si>
  <si>
    <t>1000-2000</t>
  </si>
  <si>
    <t>Gediminas Tower</t>
  </si>
  <si>
    <t>Fri</t>
  </si>
  <si>
    <t>0900-1800</t>
  </si>
  <si>
    <t>0900-1600</t>
  </si>
  <si>
    <t>Museum of Occupations</t>
  </si>
  <si>
    <t>Tour Lukiškės Prison</t>
  </si>
  <si>
    <t>Sat</t>
  </si>
  <si>
    <t>Sun</t>
  </si>
  <si>
    <t>Tue</t>
  </si>
  <si>
    <t>House of Blackheads</t>
  </si>
  <si>
    <t>Occupation Museum</t>
  </si>
  <si>
    <t>KGB Building</t>
  </si>
  <si>
    <t>Ethnographic Museum</t>
  </si>
  <si>
    <t>1000-2200</t>
  </si>
  <si>
    <t>Canal Boat Tour</t>
  </si>
  <si>
    <t>Cable Car</t>
  </si>
  <si>
    <t>Seaplane Harbour Museum</t>
  </si>
  <si>
    <t>Train</t>
  </si>
  <si>
    <t>Mon</t>
  </si>
  <si>
    <t>Cycle</t>
  </si>
  <si>
    <t>MC</t>
  </si>
  <si>
    <t>Museum Card</t>
  </si>
  <si>
    <t>Dome Cathedral</t>
  </si>
  <si>
    <t>Turaida Museum</t>
  </si>
  <si>
    <t>Castle Complex</t>
  </si>
  <si>
    <t>0705-1104</t>
  </si>
  <si>
    <t>Mo Museum</t>
  </si>
  <si>
    <t>KGB Cells Museum</t>
  </si>
  <si>
    <t>Cost (€)</t>
  </si>
  <si>
    <t>USD</t>
  </si>
  <si>
    <t>Cost (¥)</t>
  </si>
  <si>
    <t>0900-2200</t>
  </si>
  <si>
    <t>Asakusa</t>
  </si>
  <si>
    <t>0930-2200</t>
  </si>
  <si>
    <t>Metropolitan Building</t>
  </si>
  <si>
    <t>Meiji Shrine</t>
  </si>
  <si>
    <t>Meiji Jingu Museum (1000), Inner Garden (500)</t>
  </si>
  <si>
    <t>Teamlab Planets</t>
  </si>
  <si>
    <t>0900-2100</t>
  </si>
  <si>
    <t>Teamlab Borderless</t>
  </si>
  <si>
    <t>Buddha and Kotoku-in</t>
  </si>
  <si>
    <t>0800-1730</t>
  </si>
  <si>
    <t>0800-1800</t>
  </si>
  <si>
    <t>Monkey Park, Cable Car and Chair Lift (490) One Way</t>
  </si>
  <si>
    <t>Mount Takao</t>
  </si>
  <si>
    <t>Takaosanguchi</t>
  </si>
  <si>
    <t>Shinjuku</t>
  </si>
  <si>
    <t>0930-2000</t>
  </si>
  <si>
    <t>Saga-Arashiyama</t>
  </si>
  <si>
    <t>0830-1700</t>
  </si>
  <si>
    <t>Ginkakuji Temple</t>
  </si>
  <si>
    <t>0600-1800</t>
  </si>
  <si>
    <t>Kiyomizudera Temple</t>
  </si>
  <si>
    <t>Tenryuji Temple</t>
  </si>
  <si>
    <t>Otagi Nenbutsu-ji</t>
  </si>
  <si>
    <t>0900-1615</t>
  </si>
  <si>
    <t>0900-1700</t>
  </si>
  <si>
    <t>0000-2359</t>
  </si>
  <si>
    <t>Fushimi Inari</t>
  </si>
  <si>
    <t>Kinkakuji Temple</t>
  </si>
  <si>
    <t>0730-1730</t>
  </si>
  <si>
    <t>Todaiji Temple</t>
  </si>
  <si>
    <t>0630-1730</t>
  </si>
  <si>
    <t>Kasuga Taisha</t>
  </si>
  <si>
    <t>0830-1730</t>
  </si>
  <si>
    <t>Byodoin Temple</t>
  </si>
  <si>
    <t>Uji</t>
  </si>
  <si>
    <t>Treasure house from 0900-1700</t>
  </si>
  <si>
    <t>0500-1700</t>
  </si>
  <si>
    <t>Koshoji Temple</t>
  </si>
  <si>
    <t>0930-2230</t>
  </si>
  <si>
    <t>Umeda Sky Building</t>
  </si>
  <si>
    <t>Tempozan Ferris</t>
  </si>
  <si>
    <t>1100-2100</t>
  </si>
  <si>
    <t>Tsutenkaku Tower</t>
  </si>
  <si>
    <t>Shin-Osaka</t>
  </si>
  <si>
    <t>Osaka Pass</t>
  </si>
  <si>
    <t>0630-1800</t>
  </si>
  <si>
    <t>Itsukushima</t>
  </si>
  <si>
    <t>Includes treasure hall</t>
  </si>
  <si>
    <t>0800-1700</t>
  </si>
  <si>
    <t>Mount Misen</t>
  </si>
  <si>
    <t>Ropeway up the mountain</t>
  </si>
  <si>
    <t>0730-1900</t>
  </si>
  <si>
    <t>1000-2230</t>
  </si>
  <si>
    <t>0500-0610</t>
  </si>
  <si>
    <t>Enoshima Pass</t>
  </si>
  <si>
    <t>Includes Koken garden</t>
  </si>
  <si>
    <t>Nikko Pass</t>
  </si>
  <si>
    <t>HND</t>
  </si>
  <si>
    <t>Keikyu Line</t>
  </si>
  <si>
    <t>Ueno</t>
  </si>
  <si>
    <t>Tokyo Metro</t>
  </si>
  <si>
    <t>Akihabara</t>
  </si>
  <si>
    <t>Yoyogi</t>
  </si>
  <si>
    <t>Shibuya</t>
  </si>
  <si>
    <t>Tobu-Nikko</t>
  </si>
  <si>
    <t>Tobu Railway Express</t>
  </si>
  <si>
    <t>Tawaramachi</t>
  </si>
  <si>
    <t>Ginza</t>
  </si>
  <si>
    <t>Shin-Toyosu</t>
  </si>
  <si>
    <t>Yokohama</t>
  </si>
  <si>
    <t>Kansai Hiroshima</t>
  </si>
  <si>
    <t>Otagidera mae</t>
  </si>
  <si>
    <t>Shichijo</t>
  </si>
  <si>
    <t>Fushimi-Inari</t>
  </si>
  <si>
    <t>Inari</t>
  </si>
  <si>
    <t>Kinkakuji</t>
  </si>
  <si>
    <t>Kurama</t>
  </si>
  <si>
    <t>Sannomiya</t>
  </si>
  <si>
    <t>Activate Pass</t>
  </si>
  <si>
    <t>Kencho-Mae</t>
  </si>
  <si>
    <t>Shin-Kobe</t>
  </si>
  <si>
    <t>Fukuromachi</t>
  </si>
  <si>
    <t>Chuden-Mae</t>
  </si>
  <si>
    <t>Nishi-Hiroshima</t>
  </si>
  <si>
    <t>Miyajimaguchi</t>
  </si>
  <si>
    <t>Tanimachi</t>
  </si>
  <si>
    <t>Toshogu Shrine</t>
  </si>
  <si>
    <t>Rinnoji Temple</t>
  </si>
  <si>
    <t>Nikko</t>
  </si>
  <si>
    <t>Futarasan Shrine</t>
  </si>
  <si>
    <t>Sea Candle</t>
  </si>
  <si>
    <t>Enoshima</t>
  </si>
  <si>
    <t>Kurama-dera Temple</t>
  </si>
  <si>
    <t>Landmark Tower Deck</t>
  </si>
  <si>
    <t>Kobe Harbour Tour</t>
  </si>
  <si>
    <t>Senjokaku Pavilion</t>
  </si>
  <si>
    <t>0830-1630</t>
  </si>
  <si>
    <t>Santa Maria Cruise</t>
  </si>
  <si>
    <t>1100-2245</t>
  </si>
  <si>
    <t>Hep Ferris Wheel</t>
  </si>
  <si>
    <t>Ginkakuji</t>
  </si>
  <si>
    <t>Shin-Hakushima</t>
  </si>
  <si>
    <t>Hondori</t>
  </si>
  <si>
    <t>KIX</t>
  </si>
  <si>
    <t>Rate</t>
  </si>
  <si>
    <t>Energy Museum</t>
  </si>
  <si>
    <t>9th Fort Museum</t>
  </si>
  <si>
    <t>Kaunas Castle</t>
  </si>
  <si>
    <t>Sunset Trip</t>
  </si>
  <si>
    <t>Kuldiga</t>
  </si>
  <si>
    <t>Sigulda Air Cable</t>
  </si>
  <si>
    <t>Sigulda New Palace</t>
  </si>
  <si>
    <t>Typa Museum</t>
  </si>
  <si>
    <t>Old Observatory</t>
  </si>
  <si>
    <t>UT Cathedral Ruins</t>
  </si>
  <si>
    <t>UT Art Museum</t>
  </si>
  <si>
    <t>Kiek in de Kok</t>
  </si>
  <si>
    <t>Estonian History Museum</t>
  </si>
  <si>
    <t>Fotografiska</t>
  </si>
  <si>
    <t>St. Olav's Church</t>
  </si>
  <si>
    <t>Town Hall</t>
  </si>
  <si>
    <t>Town Hall Pharmacy</t>
  </si>
  <si>
    <t>Fat Margaret Museum</t>
  </si>
  <si>
    <t>KGB Prison Cells</t>
  </si>
  <si>
    <t>Stockholm</t>
  </si>
  <si>
    <t>Cost (SEK)</t>
  </si>
  <si>
    <t>Gothenburg</t>
  </si>
  <si>
    <t>Copenhagen</t>
  </si>
  <si>
    <t>Cost (DKK)</t>
  </si>
  <si>
    <t>Modern Museum</t>
  </si>
  <si>
    <t>National Museum</t>
  </si>
  <si>
    <t>City Hall Tower</t>
  </si>
  <si>
    <t>Vasa Museum</t>
  </si>
  <si>
    <t>Lund</t>
  </si>
  <si>
    <t>Rosenborg Castle</t>
  </si>
  <si>
    <t>Christiansborg Palace</t>
  </si>
  <si>
    <t>Nyhavn Canal Tour</t>
  </si>
  <si>
    <t>Tivoli Gardens</t>
  </si>
  <si>
    <t>Frederiksborg Castle</t>
  </si>
  <si>
    <t>Louisiana Museum</t>
  </si>
  <si>
    <t>Viking Ship Museum</t>
  </si>
  <si>
    <t>CC</t>
  </si>
  <si>
    <t>Roskilde Cathedral</t>
  </si>
  <si>
    <t>Kiyomizudera</t>
  </si>
  <si>
    <t>Includes climbing the bell tower</t>
  </si>
  <si>
    <t>Vilnius Museum</t>
  </si>
  <si>
    <t>Cathedral Bell Tower</t>
  </si>
  <si>
    <t>House of Histories</t>
  </si>
  <si>
    <t>Gondola Ride</t>
  </si>
  <si>
    <t>St. Mary's Cathedral</t>
  </si>
  <si>
    <t>Yamatoji</t>
  </si>
  <si>
    <t>Nogizaka</t>
  </si>
  <si>
    <t>Otemachi</t>
  </si>
  <si>
    <t>Demachiyanagi</t>
  </si>
  <si>
    <t>EE Kippu</t>
  </si>
  <si>
    <t>Sanjo</t>
  </si>
  <si>
    <t>Daikakuji</t>
  </si>
  <si>
    <t>Iwatayama Monkey Park</t>
  </si>
  <si>
    <t>Nijo Castle</t>
  </si>
  <si>
    <t>Arashiyama Koen</t>
  </si>
  <si>
    <t>Horikawa Oike</t>
  </si>
  <si>
    <t>Guest House Tokyo Samurai</t>
  </si>
  <si>
    <t>K's House Kyoto</t>
  </si>
  <si>
    <t xml:space="preserve">Hostel Anchorage </t>
  </si>
  <si>
    <t xml:space="preserve">Hostel Mallika </t>
  </si>
  <si>
    <t>Backstage Osaka Hostel</t>
  </si>
  <si>
    <t>Spent</t>
  </si>
  <si>
    <t>DonQi</t>
  </si>
  <si>
    <t>Credit Card</t>
  </si>
  <si>
    <t>Helsinki</t>
  </si>
  <si>
    <t>Aarhus</t>
  </si>
  <si>
    <t>Glyptoteket</t>
  </si>
  <si>
    <t>Den Gamle By</t>
  </si>
  <si>
    <t>Aros Art Museum</t>
  </si>
  <si>
    <t>Moesgaard Museum</t>
  </si>
  <si>
    <t>Aalborg</t>
  </si>
  <si>
    <t>Roskilde</t>
  </si>
  <si>
    <t>Hillerød</t>
  </si>
  <si>
    <t>Helsingør</t>
  </si>
  <si>
    <t>CheapSleep Hotel</t>
  </si>
  <si>
    <t>Looming Hostel</t>
  </si>
  <si>
    <t>Tree House</t>
  </si>
  <si>
    <t>Bed &amp; Blues</t>
  </si>
  <si>
    <t>Helsinki Card</t>
  </si>
  <si>
    <t>Helsinki Cathedral</t>
  </si>
  <si>
    <t>Evening Cruise</t>
  </si>
  <si>
    <t>Rock Church</t>
  </si>
  <si>
    <t>Ehrensvärd</t>
  </si>
  <si>
    <t>Military Museum</t>
  </si>
  <si>
    <t>Submarine Vesikko</t>
  </si>
  <si>
    <t>Canal Cruise</t>
  </si>
  <si>
    <t>BLR-HEL</t>
  </si>
  <si>
    <t>VNO-BLR</t>
  </si>
  <si>
    <t>INR</t>
  </si>
  <si>
    <t>0900-1115</t>
  </si>
  <si>
    <t>Latvian National Museum of Art</t>
  </si>
  <si>
    <t>Latvian War Museum</t>
  </si>
  <si>
    <t xml:space="preserve">Guided tour University Library </t>
  </si>
  <si>
    <t>Bastion of Vilnius City Wall</t>
  </si>
  <si>
    <t>Castellan's House</t>
  </si>
  <si>
    <t>Vilnius Pass</t>
  </si>
  <si>
    <t>Old Town Munkenhof</t>
  </si>
  <si>
    <t>72h Vilnius Pass</t>
  </si>
  <si>
    <t>Palanga</t>
  </si>
  <si>
    <t>LuxExpress</t>
  </si>
  <si>
    <t>FerryScanner</t>
  </si>
  <si>
    <t>Hostel4You</t>
  </si>
  <si>
    <t>Tallinn Card</t>
  </si>
  <si>
    <t>Ubigi</t>
  </si>
  <si>
    <t>Klaipeda Hostel</t>
  </si>
  <si>
    <t>Per Day</t>
  </si>
  <si>
    <t>Remarks</t>
  </si>
  <si>
    <t>TC</t>
  </si>
  <si>
    <t>VP</t>
  </si>
  <si>
    <t>Uspenski Cathedral</t>
  </si>
  <si>
    <t>Tallinn 56h Card</t>
  </si>
  <si>
    <t>Summer Guided Tour</t>
  </si>
  <si>
    <t>Turaida</t>
  </si>
  <si>
    <t>One Way</t>
  </si>
  <si>
    <t>House of Signatories</t>
  </si>
  <si>
    <t>Samuel Bak Museum</t>
  </si>
  <si>
    <t>3-day Ticket</t>
  </si>
  <si>
    <t>Final</t>
  </si>
  <si>
    <t>HC</t>
  </si>
  <si>
    <t>Sim</t>
  </si>
  <si>
    <t>CPH</t>
  </si>
  <si>
    <t>Vor Frelsers Kirke</t>
  </si>
  <si>
    <t>Amalienborg Palace</t>
  </si>
  <si>
    <t>Kronborg Castle</t>
  </si>
  <si>
    <t>Frederiksborg Ferry</t>
  </si>
  <si>
    <t>Round Tower</t>
  </si>
  <si>
    <t>National Gallery of Denmark</t>
  </si>
  <si>
    <t>Musuem of Danish Resistance</t>
  </si>
  <si>
    <t>National Museum of Denmark</t>
  </si>
  <si>
    <t>Paddan Tour</t>
  </si>
  <si>
    <t>Maritiman</t>
  </si>
  <si>
    <t>Gothenburg Museum of Art</t>
  </si>
  <si>
    <t>Gothenurg City Museum</t>
  </si>
  <si>
    <t>Museum of Design &amp; Craft</t>
  </si>
  <si>
    <t>Skansen Open-Air Museum</t>
  </si>
  <si>
    <t>History Museum</t>
  </si>
  <si>
    <t>Royal Palace Guided Tour</t>
  </si>
  <si>
    <t>Riddarholmen Church</t>
  </si>
  <si>
    <t>City Hall Guided Tour</t>
  </si>
  <si>
    <t>For Ride Pass</t>
  </si>
  <si>
    <t>Torreboda</t>
  </si>
  <si>
    <t>0726-0925</t>
  </si>
  <si>
    <t>Vasttraffik Ticket</t>
  </si>
  <si>
    <t>Kulturen</t>
  </si>
  <si>
    <t>Winstrup Hostel</t>
  </si>
  <si>
    <t>Malmo</t>
  </si>
  <si>
    <t>Stockholm Cathedral</t>
  </si>
  <si>
    <t>Royal Armoury</t>
  </si>
  <si>
    <t>Prins Eugens Collection</t>
  </si>
  <si>
    <t>Tekniska Museum</t>
  </si>
  <si>
    <t>Gripsholm Castle</t>
  </si>
  <si>
    <t>Mariefred</t>
  </si>
  <si>
    <t>Gustavianum Guided Tour</t>
  </si>
  <si>
    <t>Uppsala</t>
  </si>
  <si>
    <t>Hallwylska</t>
  </si>
  <si>
    <t>Train + Bus</t>
  </si>
  <si>
    <t>0750-0831</t>
  </si>
  <si>
    <t>Marsta</t>
  </si>
  <si>
    <t>Sigtuna</t>
  </si>
  <si>
    <t>Go</t>
  </si>
  <si>
    <t>2017-2235</t>
  </si>
  <si>
    <t>72h ticket</t>
  </si>
  <si>
    <t>1728-2044</t>
  </si>
  <si>
    <t>Gota Cycle rent</t>
  </si>
  <si>
    <t>Liljevalchs</t>
  </si>
  <si>
    <t>Stockholm City Museum</t>
  </si>
  <si>
    <t>SL 1 Days Pass</t>
  </si>
  <si>
    <t>SL 24h Ticket</t>
  </si>
  <si>
    <t>0730-1105</t>
  </si>
  <si>
    <t>FlixBus</t>
  </si>
  <si>
    <t>0755-0920</t>
  </si>
  <si>
    <t>1725-1910</t>
  </si>
  <si>
    <t>0720-1055</t>
  </si>
  <si>
    <t>Royal Reception Rooms</t>
  </si>
  <si>
    <t>Christiansborg Palace Ruins</t>
  </si>
  <si>
    <t>Malmö Castle &amp; Museum</t>
  </si>
  <si>
    <t>Technology and Maritime Museum</t>
  </si>
  <si>
    <t>Malmö</t>
  </si>
  <si>
    <t>Cultural Pass</t>
  </si>
  <si>
    <t>Rome</t>
  </si>
  <si>
    <t>Florence</t>
  </si>
  <si>
    <t>Bologna</t>
  </si>
  <si>
    <t>Padova</t>
  </si>
  <si>
    <t>Hotel Padova</t>
  </si>
  <si>
    <t>Milan</t>
  </si>
  <si>
    <t>Pantheon</t>
  </si>
  <si>
    <t>Colosseum, Forum &amp; Palatine Hill</t>
  </si>
  <si>
    <t>Vatican Museum &amp; Sistine Chapel</t>
  </si>
  <si>
    <t>Vatican City</t>
  </si>
  <si>
    <t>St. Peter's Basilica Dome Climb</t>
  </si>
  <si>
    <t>Borghese Gallery</t>
  </si>
  <si>
    <t>Villa d'Este and Hadrian's Villa</t>
  </si>
  <si>
    <t>Tivoli</t>
  </si>
  <si>
    <t>Ostia Antica</t>
  </si>
  <si>
    <t>Capitoline Museums</t>
  </si>
  <si>
    <t>Duomo</t>
  </si>
  <si>
    <t>Palazzo Vecchio</t>
  </si>
  <si>
    <t>Santa Croce Basilica</t>
  </si>
  <si>
    <t>Academia Gallery</t>
  </si>
  <si>
    <t>Siena Cathedral</t>
  </si>
  <si>
    <t>Siena</t>
  </si>
  <si>
    <t>Leaning Tower Climb</t>
  </si>
  <si>
    <t>Pisa</t>
  </si>
  <si>
    <t>Padua</t>
  </si>
  <si>
    <t>Verona Arena</t>
  </si>
  <si>
    <t>Verona</t>
  </si>
  <si>
    <t>Cenacolo Vinciano</t>
  </si>
  <si>
    <t>Pinacoteca di Brera</t>
  </si>
  <si>
    <t>Naples</t>
  </si>
  <si>
    <t>Hostel II Nosadillo</t>
  </si>
  <si>
    <t>a &amp; o Hostel</t>
  </si>
  <si>
    <t>StarVagante Hostel</t>
  </si>
  <si>
    <t>All'ombra della Torre</t>
  </si>
  <si>
    <t>Tric Trac Hostel</t>
  </si>
  <si>
    <t>Sleep in Heaven</t>
  </si>
  <si>
    <t>City Hostel</t>
  </si>
  <si>
    <t>Slottsskogens Hostel</t>
  </si>
  <si>
    <t>Nuremberg</t>
  </si>
  <si>
    <t>Regensburg</t>
  </si>
  <si>
    <t>Munich</t>
  </si>
  <si>
    <t>Salzburg</t>
  </si>
  <si>
    <t>Vienna</t>
  </si>
  <si>
    <t>a&amp;o</t>
  </si>
  <si>
    <t>Hostel am Ostentor</t>
  </si>
  <si>
    <t>Jaeger's Munich</t>
  </si>
  <si>
    <t>Yoho</t>
  </si>
  <si>
    <t>Frankfurt</t>
  </si>
  <si>
    <t>Graz</t>
  </si>
  <si>
    <t>Deutschland Ticket</t>
  </si>
  <si>
    <t>Zugspitze</t>
  </si>
  <si>
    <t>Munich Pass</t>
  </si>
  <si>
    <t>Garmisch</t>
  </si>
  <si>
    <t>Augsburg</t>
  </si>
  <si>
    <t>Salzburg Card</t>
  </si>
  <si>
    <t>DC</t>
  </si>
  <si>
    <t>Berchtesgaden</t>
  </si>
  <si>
    <t>Do Step Inn Central</t>
  </si>
  <si>
    <t>Henkerhaus Museum</t>
  </si>
  <si>
    <t>Nuremberg Castle</t>
  </si>
  <si>
    <t>Underground Tour</t>
  </si>
  <si>
    <t>Guided tour Rally Grounds</t>
  </si>
  <si>
    <t>Documentation Center</t>
  </si>
  <si>
    <t>Germanisches NationalMuseum</t>
  </si>
  <si>
    <t>Old Court</t>
  </si>
  <si>
    <t>Bamberg</t>
  </si>
  <si>
    <t>New Residence</t>
  </si>
  <si>
    <t>Regensburg Guided Tour</t>
  </si>
  <si>
    <t>Regensburg Cathedral Guided Tour</t>
  </si>
  <si>
    <t>Kelheim to Weltenburg Abbey boat</t>
  </si>
  <si>
    <t>Weltenburg Abbey</t>
  </si>
  <si>
    <t>Frauenkirche</t>
  </si>
  <si>
    <t>Pinakothek der Moderne</t>
  </si>
  <si>
    <t>Nymphenburg Palace</t>
  </si>
  <si>
    <t>Botanical Gardens</t>
  </si>
  <si>
    <t>Fuggerei</t>
  </si>
  <si>
    <t>Deutsches Museum</t>
  </si>
  <si>
    <t>Munich Residenz</t>
  </si>
  <si>
    <t>Biking in English Garden</t>
  </si>
  <si>
    <t>Alte Pinakothek</t>
  </si>
  <si>
    <t>BMW Museum</t>
  </si>
  <si>
    <t>Lenbachhaus</t>
  </si>
  <si>
    <t>Mozart's Residence</t>
  </si>
  <si>
    <t>Mozart's Birthplace</t>
  </si>
  <si>
    <t>Salzburg Cathedral</t>
  </si>
  <si>
    <t>St. Peter's Catacombs</t>
  </si>
  <si>
    <t>Hohensalzburg Fortress</t>
  </si>
  <si>
    <t>Hellbrunn Palace and Trick Fountains</t>
  </si>
  <si>
    <t>Salt Mines</t>
  </si>
  <si>
    <t>Boat to St. Wolfgang</t>
  </si>
  <si>
    <t>Schafergbahn</t>
  </si>
  <si>
    <t>Kaiservilla Gardens</t>
  </si>
  <si>
    <t>Bad Ischl</t>
  </si>
  <si>
    <t>Koenigssee</t>
  </si>
  <si>
    <t>Eggenerg Palace</t>
  </si>
  <si>
    <t>Styrian Armoury</t>
  </si>
  <si>
    <t>Karlskirche</t>
  </si>
  <si>
    <t>Hofburg Palace</t>
  </si>
  <si>
    <t>Museum of Applied Arts</t>
  </si>
  <si>
    <t>St. Stephen's Cathedral</t>
  </si>
  <si>
    <t>Natural History Museum</t>
  </si>
  <si>
    <t>Albertina Museum</t>
  </si>
  <si>
    <t>Ferris Wheel</t>
  </si>
  <si>
    <t>Belvedere Palace</t>
  </si>
  <si>
    <t>Austrian National Library State Hall</t>
  </si>
  <si>
    <t>Kunsthistorisches Museum</t>
  </si>
  <si>
    <t>Schoenbrunn Palace</t>
  </si>
  <si>
    <t>Melk</t>
  </si>
  <si>
    <t>Melk Abbey Guided Tour</t>
  </si>
  <si>
    <t>Bike Rental</t>
  </si>
  <si>
    <t>Vienna State Opera</t>
  </si>
  <si>
    <t>Nuremberg Card</t>
  </si>
  <si>
    <t>Guided Tour Trials Memorium</t>
  </si>
  <si>
    <t>Vienna Pass</t>
  </si>
  <si>
    <t>New Town Hall Tower</t>
  </si>
  <si>
    <t>MP</t>
  </si>
  <si>
    <t>Old Town Tour</t>
  </si>
  <si>
    <t>Untersberg Cable Car</t>
  </si>
  <si>
    <t>Graz Pass</t>
  </si>
  <si>
    <t>6 days</t>
  </si>
  <si>
    <t>City cruise</t>
  </si>
  <si>
    <t>Roberta House Society</t>
  </si>
  <si>
    <t>Cozy Guest House</t>
  </si>
  <si>
    <t>Bruges</t>
  </si>
  <si>
    <t>Hostel Europa</t>
  </si>
  <si>
    <t>Ghent</t>
  </si>
  <si>
    <t>Kaba Hostel</t>
  </si>
  <si>
    <t>Antwerp</t>
  </si>
  <si>
    <t>YUST</t>
  </si>
  <si>
    <t>Luxembourg</t>
  </si>
  <si>
    <t>Youth Hostel</t>
  </si>
  <si>
    <t>Namur</t>
  </si>
  <si>
    <t>Brussels</t>
  </si>
  <si>
    <t>Liege</t>
  </si>
  <si>
    <t>Chambre chez l'habitant</t>
  </si>
  <si>
    <t>Sleep Well Youth Hostel</t>
  </si>
  <si>
    <t>Central Youth Hostel</t>
  </si>
  <si>
    <t>Maastricht</t>
  </si>
  <si>
    <t>Bovisa Urban Garden</t>
  </si>
  <si>
    <t>Melting Pot Rome</t>
  </si>
  <si>
    <t>Amsterdam</t>
  </si>
  <si>
    <t>Utrecht</t>
  </si>
  <si>
    <t>Rotterdam</t>
  </si>
  <si>
    <t>Van Gogh Museum</t>
  </si>
  <si>
    <t>RijksMuseum</t>
  </si>
  <si>
    <t>Anne Frank House</t>
  </si>
  <si>
    <t>Stedelijk Museum</t>
  </si>
  <si>
    <t>Railway Museum</t>
  </si>
  <si>
    <t>Onze Lieve Vrouetoren</t>
  </si>
  <si>
    <t>St. George's Church</t>
  </si>
  <si>
    <t>De Haar Castle</t>
  </si>
  <si>
    <t>Kunsthal</t>
  </si>
  <si>
    <t>Depot Boijmans Van Benuingen</t>
  </si>
  <si>
    <t>Cube Houses</t>
  </si>
  <si>
    <t>Nieue Kerk &amp; Oude Kerk</t>
  </si>
  <si>
    <t>Canal Tour</t>
  </si>
  <si>
    <t>Den Haag</t>
  </si>
  <si>
    <t>Peace Palace</t>
  </si>
  <si>
    <t>Escher in the Palace</t>
  </si>
  <si>
    <t>Haags Kunst Museum</t>
  </si>
  <si>
    <t>Panorama Mesdag</t>
  </si>
  <si>
    <t>AC</t>
  </si>
  <si>
    <t>Di Nieuwe Kerk</t>
  </si>
  <si>
    <t>Oude Kerk</t>
  </si>
  <si>
    <t>Straat Museum</t>
  </si>
  <si>
    <t>Our Lord in the Attic Museum</t>
  </si>
  <si>
    <t>Haarlem</t>
  </si>
  <si>
    <t>Delft</t>
  </si>
  <si>
    <t>King Kong Hostel</t>
  </si>
  <si>
    <t>Kinderdijk</t>
  </si>
  <si>
    <t>Slot Zuylen</t>
  </si>
  <si>
    <t>Cycle Rental Utrecht</t>
  </si>
  <si>
    <t>Schiphol Airport</t>
  </si>
  <si>
    <t>Amersfoort</t>
  </si>
  <si>
    <t>Schiphol</t>
  </si>
  <si>
    <t>Cycle Rental Haarlem</t>
  </si>
  <si>
    <t>Kinderijk</t>
  </si>
  <si>
    <t>IAms Card</t>
  </si>
  <si>
    <t>Mauritshuis Museum</t>
  </si>
  <si>
    <t>Museum Speelklok</t>
  </si>
  <si>
    <t>RP</t>
  </si>
  <si>
    <t>Laurenkerk &amp; Tower Climb</t>
  </si>
  <si>
    <t>Den Haag Pass</t>
  </si>
  <si>
    <t>Rotterdam Pass</t>
  </si>
  <si>
    <t>Pinacoteca Ambrosiana</t>
  </si>
  <si>
    <t>Leonardo da Vinci Science Museum</t>
  </si>
  <si>
    <t>Guided Tour</t>
  </si>
  <si>
    <t>Sforza Castle</t>
  </si>
  <si>
    <t>Varenna-Esino</t>
  </si>
  <si>
    <t>Varenna</t>
  </si>
  <si>
    <t>Bellagio</t>
  </si>
  <si>
    <t>Boat</t>
  </si>
  <si>
    <t>Lenno</t>
  </si>
  <si>
    <t>Villa Balbianello</t>
  </si>
  <si>
    <t>Villa Monastero</t>
  </si>
  <si>
    <t>Verona Churches</t>
  </si>
  <si>
    <t>CastelVechhio Museum</t>
  </si>
  <si>
    <t>Teatro Romano</t>
  </si>
  <si>
    <t>Torre Dei Lamberti</t>
  </si>
  <si>
    <t>Basilica of St. Anthony</t>
  </si>
  <si>
    <t>Orto Botanical Gardens</t>
  </si>
  <si>
    <t>Ragione Palace</t>
  </si>
  <si>
    <t>Scrovegni Chapel Tour</t>
  </si>
  <si>
    <t>Discover Bologna</t>
  </si>
  <si>
    <t>Clock Tower</t>
  </si>
  <si>
    <t>Teatro Anatomico</t>
  </si>
  <si>
    <t>Palazzo Pepoli</t>
  </si>
  <si>
    <t>Pinacoteca Nazionale</t>
  </si>
  <si>
    <t>Bologna Food Tour</t>
  </si>
  <si>
    <t>Verona Card</t>
  </si>
  <si>
    <t>Bologna Card</t>
  </si>
  <si>
    <t>Urbs Picta Card</t>
  </si>
  <si>
    <t>48h, Padova</t>
  </si>
  <si>
    <t>Duomo &amp; Baptistery</t>
  </si>
  <si>
    <t>Arnolfo Tower</t>
  </si>
  <si>
    <t>Basilica of San Lorenzo</t>
  </si>
  <si>
    <t>Leonardo da Vinci Museum</t>
  </si>
  <si>
    <t>Lucca</t>
  </si>
  <si>
    <t>Torre Guinigi</t>
  </si>
  <si>
    <t>Torre delle Ore</t>
  </si>
  <si>
    <t>Lucca Cathedral</t>
  </si>
  <si>
    <t>Medici Chapels</t>
  </si>
  <si>
    <t>Uffizi Gallery</t>
  </si>
  <si>
    <t>Pitti Palace</t>
  </si>
  <si>
    <t>Boboli Gardens</t>
  </si>
  <si>
    <t>Bardini Gardens</t>
  </si>
  <si>
    <t>Palazzo Pubblico</t>
  </si>
  <si>
    <t>Santa Maria Della Scala</t>
  </si>
  <si>
    <t>Palazzo + Santa Maria + Tower</t>
  </si>
  <si>
    <t>Academia dei Fisoocritici</t>
  </si>
  <si>
    <t>Firenze Card</t>
  </si>
  <si>
    <t>Lucca Card</t>
  </si>
  <si>
    <t>Museo Cappela Sansevero</t>
  </si>
  <si>
    <t>Santa Chiara Monastery</t>
  </si>
  <si>
    <t>Naples Underground</t>
  </si>
  <si>
    <t>San Gennaro Catacombs</t>
  </si>
  <si>
    <t>Palazzo Reale</t>
  </si>
  <si>
    <t>Naples Sotterranea Tour</t>
  </si>
  <si>
    <t>Pompeii</t>
  </si>
  <si>
    <t>MANN</t>
  </si>
  <si>
    <t>Herculaneum</t>
  </si>
  <si>
    <t>Mt. Vesuvius</t>
  </si>
  <si>
    <t>Basilica of San Clemente</t>
  </si>
  <si>
    <t>Castel Sant'Angelo</t>
  </si>
  <si>
    <t>Doria Pamphij Gallery</t>
  </si>
  <si>
    <t>Palazzo Valentini</t>
  </si>
  <si>
    <t>Largo di Torre Argentina</t>
  </si>
  <si>
    <t>Trevi Fountain</t>
  </si>
  <si>
    <t>Palazzo Colonna</t>
  </si>
  <si>
    <t>Campania 365 Lite</t>
  </si>
  <si>
    <t>Gutenberg Museum</t>
  </si>
  <si>
    <t>Mainz</t>
  </si>
  <si>
    <t>Rudesheim</t>
  </si>
  <si>
    <t>RudesHeim am Main Rung Tour</t>
  </si>
  <si>
    <t>RheinWeinWelt</t>
  </si>
  <si>
    <t>RheinFels Castle</t>
  </si>
  <si>
    <t>St. Goar</t>
  </si>
  <si>
    <t>Koblenz</t>
  </si>
  <si>
    <t>Seilbahn</t>
  </si>
  <si>
    <t>Burg Eltz</t>
  </si>
  <si>
    <t>Cochem</t>
  </si>
  <si>
    <t>Sesselbahn</t>
  </si>
  <si>
    <t>Mustard Mill</t>
  </si>
  <si>
    <t>Boat tour</t>
  </si>
  <si>
    <t>Reichsburg</t>
  </si>
  <si>
    <t>Reichsburg Shuttle Bus</t>
  </si>
  <si>
    <t>Porta Nigra</t>
  </si>
  <si>
    <t>Trier</t>
  </si>
  <si>
    <t>Kaiserthermen</t>
  </si>
  <si>
    <t>Ampitheatre</t>
  </si>
  <si>
    <t>Forum Baths</t>
  </si>
  <si>
    <t>Archaeological Museum</t>
  </si>
  <si>
    <t>Stadtmuseum</t>
  </si>
  <si>
    <t>Grand Ducal Palace</t>
  </si>
  <si>
    <t>Bock Casemates</t>
  </si>
  <si>
    <t>Vianden Castle</t>
  </si>
  <si>
    <t>Vianden Cable Card</t>
  </si>
  <si>
    <t>National Museum of Millitary Histroy</t>
  </si>
  <si>
    <t>Citadel de Namur</t>
  </si>
  <si>
    <t>Dinant Cruise</t>
  </si>
  <si>
    <t>Dinant</t>
  </si>
  <si>
    <t>Citadel de Dinant</t>
  </si>
  <si>
    <t>St. Bartholomew Collegiate Church</t>
  </si>
  <si>
    <t>Basilica of Saint Servatius &amp; Treasury</t>
  </si>
  <si>
    <t>St. John's Church Tower</t>
  </si>
  <si>
    <t>Boat Tour on the Meuse</t>
  </si>
  <si>
    <t>Helpoort &amp; Fortress Museum</t>
  </si>
  <si>
    <t>Fort Saint Peter</t>
  </si>
  <si>
    <t>North Caves</t>
  </si>
  <si>
    <t>City Museum</t>
  </si>
  <si>
    <t>Bozar</t>
  </si>
  <si>
    <t>Royal Museum of Fine Arts</t>
  </si>
  <si>
    <t>Atomium</t>
  </si>
  <si>
    <t>Art and History Museum</t>
  </si>
  <si>
    <t>Autoworld</t>
  </si>
  <si>
    <t>War Heritage Museum</t>
  </si>
  <si>
    <t>MSK</t>
  </si>
  <si>
    <t>SMAK</t>
  </si>
  <si>
    <t>STAM</t>
  </si>
  <si>
    <t>Gravensteen Castle</t>
  </si>
  <si>
    <t>Bellfry</t>
  </si>
  <si>
    <t>St. Bavo's Cathedral</t>
  </si>
  <si>
    <t>In Flanders Fields Museum</t>
  </si>
  <si>
    <t>Ypres</t>
  </si>
  <si>
    <t>Museum of St. John's Hospital</t>
  </si>
  <si>
    <t>Museum of Church of Our Lady</t>
  </si>
  <si>
    <t>Gruuthuse Museum</t>
  </si>
  <si>
    <t>Bruges Tour</t>
  </si>
  <si>
    <t>Boat Trip on Canals</t>
  </si>
  <si>
    <t>Historium</t>
  </si>
  <si>
    <t>Groeninge Museum</t>
  </si>
  <si>
    <t>Halve Maan Brewery</t>
  </si>
  <si>
    <t>City Hall</t>
  </si>
  <si>
    <t>Museum Mayer van den Bergh</t>
  </si>
  <si>
    <t>Red Star Line Museum</t>
  </si>
  <si>
    <t>MAS</t>
  </si>
  <si>
    <t>Carolus Borromeus Church</t>
  </si>
  <si>
    <t>Rubens' House, Garden, Library</t>
  </si>
  <si>
    <t>KMSKA</t>
  </si>
  <si>
    <t>Snijders Rockoxhuis</t>
  </si>
  <si>
    <t>St. Paul's Cathedral</t>
  </si>
  <si>
    <t>Fomu</t>
  </si>
  <si>
    <t>Misc</t>
  </si>
  <si>
    <t>Courier + SMS</t>
  </si>
  <si>
    <t>BLR-AMS</t>
  </si>
  <si>
    <t>AMS-BLR</t>
  </si>
  <si>
    <t>Hans Brinker</t>
  </si>
  <si>
    <t>Pink Flamingo Boutique</t>
  </si>
  <si>
    <t>12.4 remain</t>
  </si>
  <si>
    <t>Euromast</t>
  </si>
  <si>
    <t>Sonneveld House</t>
  </si>
  <si>
    <t>Grote Kerk - Sint Jackobskerk</t>
  </si>
  <si>
    <t>Stayokay Hostel Centrum</t>
  </si>
  <si>
    <t>Dom Tower Tour</t>
  </si>
  <si>
    <t>Evening Canal Boat Tour</t>
  </si>
  <si>
    <t>Savings</t>
  </si>
  <si>
    <t>Hello Amsterdam Tour</t>
  </si>
  <si>
    <t>Portuguese Synagogue</t>
  </si>
  <si>
    <t>Dutch Resistance Museum</t>
  </si>
  <si>
    <t>A'Dam Lookout</t>
  </si>
  <si>
    <t>Museum of the Canals</t>
  </si>
  <si>
    <t>AC - 18.5</t>
  </si>
  <si>
    <t>Teylers Museum</t>
  </si>
  <si>
    <t>Driehoeksveer</t>
  </si>
  <si>
    <t>Bologna Card Discount</t>
  </si>
  <si>
    <t>Including Torre Del Mangia</t>
  </si>
  <si>
    <t>Campania 365 Lite Card</t>
  </si>
  <si>
    <t>102.5 with Occupation Museum Ticket</t>
  </si>
  <si>
    <t>CPH Discover Card</t>
  </si>
  <si>
    <t>Go, Cultural Pass</t>
  </si>
  <si>
    <t>Go, Cultural Pass, 50 extra for Tour</t>
  </si>
  <si>
    <t>Vienna Pass, Guided Tour</t>
  </si>
  <si>
    <t>Museum Pass</t>
  </si>
  <si>
    <t>Go,Cultural Pass</t>
  </si>
  <si>
    <t>Leiden</t>
  </si>
  <si>
    <t>Molen de Valk</t>
  </si>
  <si>
    <t>Pieters Kerk</t>
  </si>
  <si>
    <t>Boerhaave Museum</t>
  </si>
  <si>
    <t>Hortus Botanicus</t>
  </si>
  <si>
    <t>Frans Hals Museum</t>
  </si>
  <si>
    <t>AC - 17.5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</si>
</sst>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 (Body)"/>
    </font>
    <font>
      <sz val="12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9C57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5" borderId="0" applyNumberFormat="0" applyBorder="0" applyAlignment="0" applyProtection="0"/>
    <xf numFmtId="0" fontId="8" fillId="12" borderId="0" applyNumberFormat="0" applyBorder="0" applyAlignment="0" applyProtection="0"/>
  </cellStyleXfs>
  <cellXfs count="158">
    <xf numFmtId="0" fontId="0" fillId="0" borderId="0" xfId="0"/>
    <xf numFmtId="0" fontId="0" fillId="0" borderId="1" xfId="0" applyBorder="1"/>
    <xf numFmtId="17" fontId="2" fillId="0" borderId="1" xfId="0" applyNumberFormat="1" applyFont="1" applyBorder="1"/>
    <xf numFmtId="0" fontId="2" fillId="0" borderId="1" xfId="0" applyFont="1" applyBorder="1"/>
    <xf numFmtId="1" fontId="2" fillId="0" borderId="1" xfId="0" applyNumberFormat="1" applyFont="1" applyBorder="1"/>
    <xf numFmtId="1" fontId="2" fillId="2" borderId="1" xfId="0" applyNumberFormat="1" applyFont="1" applyFill="1" applyBorder="1"/>
    <xf numFmtId="0" fontId="1" fillId="3" borderId="1" xfId="0" applyFont="1" applyFill="1" applyBorder="1"/>
    <xf numFmtId="0" fontId="2" fillId="0" borderId="0" xfId="0" applyFont="1"/>
    <xf numFmtId="0" fontId="2" fillId="4" borderId="0" xfId="0" applyFont="1" applyFill="1"/>
    <xf numFmtId="0" fontId="4" fillId="5" borderId="0" xfId="1"/>
    <xf numFmtId="0" fontId="1" fillId="3" borderId="2" xfId="0" applyFont="1" applyFill="1" applyBorder="1"/>
    <xf numFmtId="0" fontId="2" fillId="0" borderId="2" xfId="0" applyFont="1" applyBorder="1"/>
    <xf numFmtId="0" fontId="1" fillId="3" borderId="7" xfId="0" applyFont="1" applyFill="1" applyBorder="1"/>
    <xf numFmtId="14" fontId="2" fillId="0" borderId="1" xfId="0" applyNumberFormat="1" applyFont="1" applyBorder="1"/>
    <xf numFmtId="0" fontId="2" fillId="0" borderId="3" xfId="0" applyFont="1" applyBorder="1"/>
    <xf numFmtId="164" fontId="2" fillId="0" borderId="1" xfId="0" applyNumberFormat="1" applyFont="1" applyBorder="1"/>
    <xf numFmtId="0" fontId="0" fillId="0" borderId="6" xfId="0" applyBorder="1" applyAlignment="1">
      <alignment horizontal="center"/>
    </xf>
    <xf numFmtId="14" fontId="2" fillId="6" borderId="1" xfId="0" applyNumberFormat="1" applyFont="1" applyFill="1" applyBorder="1"/>
    <xf numFmtId="0" fontId="2" fillId="6" borderId="1" xfId="0" applyFont="1" applyFill="1" applyBorder="1"/>
    <xf numFmtId="1" fontId="2" fillId="6" borderId="1" xfId="0" applyNumberFormat="1" applyFont="1" applyFill="1" applyBorder="1"/>
    <xf numFmtId="14" fontId="2" fillId="7" borderId="1" xfId="0" applyNumberFormat="1" applyFont="1" applyFill="1" applyBorder="1"/>
    <xf numFmtId="0" fontId="2" fillId="7" borderId="1" xfId="0" applyFont="1" applyFill="1" applyBorder="1"/>
    <xf numFmtId="1" fontId="2" fillId="7" borderId="1" xfId="0" applyNumberFormat="1" applyFont="1" applyFill="1" applyBorder="1"/>
    <xf numFmtId="14" fontId="2" fillId="8" borderId="1" xfId="0" applyNumberFormat="1" applyFont="1" applyFill="1" applyBorder="1"/>
    <xf numFmtId="0" fontId="2" fillId="8" borderId="1" xfId="0" applyFont="1" applyFill="1" applyBorder="1"/>
    <xf numFmtId="1" fontId="2" fillId="8" borderId="1" xfId="0" applyNumberFormat="1" applyFont="1" applyFill="1" applyBorder="1"/>
    <xf numFmtId="2" fontId="2" fillId="0" borderId="1" xfId="0" applyNumberFormat="1" applyFont="1" applyBorder="1"/>
    <xf numFmtId="14" fontId="0" fillId="0" borderId="1" xfId="0" applyNumberFormat="1" applyBorder="1"/>
    <xf numFmtId="0" fontId="2" fillId="6" borderId="2" xfId="0" applyFont="1" applyFill="1" applyBorder="1"/>
    <xf numFmtId="0" fontId="2" fillId="6" borderId="4" xfId="0" applyFont="1" applyFill="1" applyBorder="1"/>
    <xf numFmtId="0" fontId="2" fillId="6" borderId="3" xfId="0" applyFont="1" applyFill="1" applyBorder="1"/>
    <xf numFmtId="14" fontId="5" fillId="0" borderId="1" xfId="0" applyNumberFormat="1" applyFont="1" applyBorder="1"/>
    <xf numFmtId="0" fontId="5" fillId="0" borderId="3" xfId="0" applyFont="1" applyBorder="1"/>
    <xf numFmtId="0" fontId="6" fillId="0" borderId="1" xfId="0" applyFont="1" applyBorder="1"/>
    <xf numFmtId="0" fontId="6" fillId="9" borderId="1" xfId="0" applyFont="1" applyFill="1" applyBorder="1" applyAlignment="1">
      <alignment horizontal="center"/>
    </xf>
    <xf numFmtId="0" fontId="4" fillId="5" borderId="1" xfId="1" applyBorder="1"/>
    <xf numFmtId="1" fontId="4" fillId="5" borderId="1" xfId="1" applyNumberFormat="1" applyBorder="1"/>
    <xf numFmtId="0" fontId="0" fillId="0" borderId="0" xfId="0" applyAlignment="1">
      <alignment horizontal="center"/>
    </xf>
    <xf numFmtId="0" fontId="0" fillId="0" borderId="6" xfId="0" applyBorder="1"/>
    <xf numFmtId="14" fontId="2" fillId="10" borderId="1" xfId="0" applyNumberFormat="1" applyFont="1" applyFill="1" applyBorder="1"/>
    <xf numFmtId="0" fontId="2" fillId="10" borderId="1" xfId="0" applyFont="1" applyFill="1" applyBorder="1"/>
    <xf numFmtId="1" fontId="2" fillId="10" borderId="1" xfId="0" applyNumberFormat="1" applyFont="1" applyFill="1" applyBorder="1"/>
    <xf numFmtId="14" fontId="0" fillId="10" borderId="1" xfId="0" applyNumberFormat="1" applyFill="1" applyBorder="1"/>
    <xf numFmtId="14" fontId="5" fillId="8" borderId="1" xfId="0" applyNumberFormat="1" applyFont="1" applyFill="1" applyBorder="1"/>
    <xf numFmtId="14" fontId="0" fillId="8" borderId="1" xfId="0" applyNumberFormat="1" applyFill="1" applyBorder="1"/>
    <xf numFmtId="14" fontId="0" fillId="7" borderId="1" xfId="0" applyNumberFormat="1" applyFill="1" applyBorder="1"/>
    <xf numFmtId="14" fontId="0" fillId="6" borderId="1" xfId="0" applyNumberFormat="1" applyFill="1" applyBorder="1"/>
    <xf numFmtId="14" fontId="7" fillId="11" borderId="1" xfId="0" applyNumberFormat="1" applyFont="1" applyFill="1" applyBorder="1"/>
    <xf numFmtId="1" fontId="2" fillId="6" borderId="2" xfId="0" applyNumberFormat="1" applyFont="1" applyFill="1" applyBorder="1"/>
    <xf numFmtId="1" fontId="2" fillId="6" borderId="3" xfId="0" applyNumberFormat="1" applyFont="1" applyFill="1" applyBorder="1"/>
    <xf numFmtId="2" fontId="2" fillId="0" borderId="2" xfId="0" applyNumberFormat="1" applyFont="1" applyBorder="1"/>
    <xf numFmtId="1" fontId="2" fillId="8" borderId="2" xfId="0" applyNumberFormat="1" applyFont="1" applyFill="1" applyBorder="1"/>
    <xf numFmtId="1" fontId="2" fillId="8" borderId="3" xfId="0" applyNumberFormat="1" applyFont="1" applyFill="1" applyBorder="1"/>
    <xf numFmtId="1" fontId="0" fillId="0" borderId="0" xfId="0" applyNumberFormat="1"/>
    <xf numFmtId="0" fontId="0" fillId="0" borderId="10" xfId="0" applyBorder="1"/>
    <xf numFmtId="16" fontId="0" fillId="0" borderId="1" xfId="0" applyNumberFormat="1" applyBorder="1"/>
    <xf numFmtId="16" fontId="0" fillId="13" borderId="1" xfId="0" applyNumberFormat="1" applyFill="1" applyBorder="1"/>
    <xf numFmtId="0" fontId="0" fillId="13" borderId="1" xfId="0" applyFill="1" applyBorder="1"/>
    <xf numFmtId="0" fontId="0" fillId="8" borderId="1" xfId="0" applyFill="1" applyBorder="1"/>
    <xf numFmtId="14" fontId="7" fillId="0" borderId="1" xfId="0" applyNumberFormat="1" applyFont="1" applyBorder="1"/>
    <xf numFmtId="14" fontId="7" fillId="0" borderId="3" xfId="0" applyNumberFormat="1" applyFont="1" applyBorder="1"/>
    <xf numFmtId="0" fontId="7" fillId="0" borderId="3" xfId="0" applyFont="1" applyBorder="1"/>
    <xf numFmtId="2" fontId="7" fillId="0" borderId="4" xfId="0" applyNumberFormat="1" applyFont="1" applyBorder="1"/>
    <xf numFmtId="14" fontId="7" fillId="0" borderId="7" xfId="0" applyNumberFormat="1" applyFont="1" applyBorder="1"/>
    <xf numFmtId="14" fontId="7" fillId="0" borderId="11" xfId="0" applyNumberFormat="1" applyFont="1" applyBorder="1"/>
    <xf numFmtId="0" fontId="7" fillId="0" borderId="11" xfId="0" applyFont="1" applyBorder="1"/>
    <xf numFmtId="2" fontId="7" fillId="0" borderId="5" xfId="0" applyNumberFormat="1" applyFont="1" applyBorder="1"/>
    <xf numFmtId="0" fontId="0" fillId="13" borderId="2" xfId="0" applyFill="1" applyBorder="1"/>
    <xf numFmtId="0" fontId="0" fillId="13" borderId="3" xfId="0" applyFill="1" applyBorder="1"/>
    <xf numFmtId="0" fontId="4" fillId="5" borderId="4" xfId="1" applyBorder="1" applyAlignment="1"/>
    <xf numFmtId="0" fontId="4" fillId="5" borderId="3" xfId="1" applyBorder="1" applyAlignment="1"/>
    <xf numFmtId="0" fontId="0" fillId="13" borderId="1" xfId="0" applyFill="1" applyBorder="1"/>
    <xf numFmtId="0" fontId="0" fillId="4" borderId="4" xfId="0" applyFill="1" applyBorder="1"/>
    <xf numFmtId="0" fontId="0" fillId="4" borderId="3" xfId="0" applyFill="1" applyBorder="1"/>
    <xf numFmtId="0" fontId="0" fillId="0" borderId="1" xfId="0" applyBorder="1"/>
    <xf numFmtId="0" fontId="2" fillId="0" borderId="1" xfId="0" applyFont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" fontId="2" fillId="0" borderId="2" xfId="0" applyNumberFormat="1" applyFont="1" applyBorder="1"/>
    <xf numFmtId="1" fontId="2" fillId="0" borderId="3" xfId="0" applyNumberFormat="1" applyFont="1" applyBorder="1"/>
    <xf numFmtId="1" fontId="7" fillId="0" borderId="2" xfId="0" applyNumberFormat="1" applyFont="1" applyBorder="1"/>
    <xf numFmtId="1" fontId="7" fillId="0" borderId="8" xfId="0" applyNumberFormat="1" applyFont="1" applyBorder="1"/>
    <xf numFmtId="0" fontId="1" fillId="3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13" borderId="4" xfId="0" applyFill="1" applyBorder="1"/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/>
    <xf numFmtId="0" fontId="2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5" fillId="14" borderId="4" xfId="0" applyFont="1" applyFill="1" applyBorder="1"/>
    <xf numFmtId="0" fontId="5" fillId="14" borderId="8" xfId="0" applyFont="1" applyFill="1" applyBorder="1"/>
    <xf numFmtId="0" fontId="5" fillId="14" borderId="4" xfId="0" applyFont="1" applyFill="1" applyBorder="1" applyAlignment="1">
      <alignment horizontal="center"/>
    </xf>
    <xf numFmtId="0" fontId="5" fillId="14" borderId="8" xfId="0" applyFont="1" applyFill="1" applyBorder="1" applyAlignment="1">
      <alignment horizontal="center"/>
    </xf>
    <xf numFmtId="0" fontId="8" fillId="12" borderId="4" xfId="2" applyBorder="1" applyAlignment="1"/>
    <xf numFmtId="0" fontId="8" fillId="12" borderId="3" xfId="2" applyBorder="1" applyAlignment="1"/>
    <xf numFmtId="0" fontId="0" fillId="0" borderId="6" xfId="0" applyBorder="1"/>
    <xf numFmtId="0" fontId="0" fillId="0" borderId="0" xfId="0"/>
    <xf numFmtId="0" fontId="0" fillId="0" borderId="5" xfId="0" applyBorder="1"/>
    <xf numFmtId="0" fontId="2" fillId="0" borderId="3" xfId="0" applyFont="1" applyBorder="1"/>
    <xf numFmtId="0" fontId="0" fillId="0" borderId="4" xfId="0" applyBorder="1"/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" fontId="2" fillId="8" borderId="2" xfId="0" applyNumberFormat="1" applyFont="1" applyFill="1" applyBorder="1"/>
    <xf numFmtId="1" fontId="2" fillId="8" borderId="3" xfId="0" applyNumberFormat="1" applyFont="1" applyFill="1" applyBorder="1"/>
    <xf numFmtId="0" fontId="0" fillId="0" borderId="0" xfId="0" applyAlignment="1">
      <alignment horizontal="center"/>
    </xf>
    <xf numFmtId="0" fontId="2" fillId="8" borderId="2" xfId="0" applyFont="1" applyFill="1" applyBorder="1"/>
    <xf numFmtId="0" fontId="2" fillId="8" borderId="4" xfId="0" applyFont="1" applyFill="1" applyBorder="1"/>
    <xf numFmtId="0" fontId="2" fillId="8" borderId="3" xfId="0" applyFont="1" applyFill="1" applyBorder="1"/>
    <xf numFmtId="0" fontId="2" fillId="8" borderId="1" xfId="0" applyFont="1" applyFill="1" applyBorder="1"/>
    <xf numFmtId="1" fontId="2" fillId="7" borderId="2" xfId="0" applyNumberFormat="1" applyFont="1" applyFill="1" applyBorder="1"/>
    <xf numFmtId="1" fontId="2" fillId="7" borderId="3" xfId="0" applyNumberFormat="1" applyFont="1" applyFill="1" applyBorder="1"/>
    <xf numFmtId="0" fontId="2" fillId="10" borderId="1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2" fillId="7" borderId="1" xfId="0" applyFont="1" applyFill="1" applyBorder="1"/>
    <xf numFmtId="0" fontId="2" fillId="6" borderId="1" xfId="0" applyFont="1" applyFill="1" applyBorder="1"/>
    <xf numFmtId="0" fontId="2" fillId="7" borderId="2" xfId="0" applyFont="1" applyFill="1" applyBorder="1"/>
    <xf numFmtId="0" fontId="2" fillId="7" borderId="4" xfId="0" applyFont="1" applyFill="1" applyBorder="1"/>
    <xf numFmtId="0" fontId="2" fillId="7" borderId="3" xfId="0" applyFont="1" applyFill="1" applyBorder="1"/>
    <xf numFmtId="0" fontId="2" fillId="6" borderId="4" xfId="0" applyFont="1" applyFill="1" applyBorder="1"/>
    <xf numFmtId="0" fontId="2" fillId="10" borderId="2" xfId="0" applyFont="1" applyFill="1" applyBorder="1"/>
    <xf numFmtId="0" fontId="2" fillId="10" borderId="4" xfId="0" applyFont="1" applyFill="1" applyBorder="1"/>
    <xf numFmtId="0" fontId="2" fillId="10" borderId="3" xfId="0" applyFont="1" applyFill="1" applyBorder="1"/>
    <xf numFmtId="1" fontId="2" fillId="6" borderId="2" xfId="0" applyNumberFormat="1" applyFont="1" applyFill="1" applyBorder="1"/>
    <xf numFmtId="1" fontId="2" fillId="6" borderId="3" xfId="0" applyNumberFormat="1" applyFont="1" applyFill="1" applyBorder="1"/>
    <xf numFmtId="1" fontId="2" fillId="10" borderId="2" xfId="0" applyNumberFormat="1" applyFont="1" applyFill="1" applyBorder="1"/>
    <xf numFmtId="1" fontId="2" fillId="10" borderId="3" xfId="0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1" fillId="3" borderId="3" xfId="0" applyFont="1" applyFill="1" applyBorder="1"/>
    <xf numFmtId="0" fontId="5" fillId="14" borderId="2" xfId="0" applyFont="1" applyFill="1" applyBorder="1"/>
    <xf numFmtId="0" fontId="5" fillId="14" borderId="2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16" fontId="7" fillId="0" borderId="2" xfId="0" applyNumberFormat="1" applyFont="1" applyBorder="1" applyAlignment="1">
      <alignment horizontal="center"/>
    </xf>
    <xf numFmtId="16" fontId="7" fillId="0" borderId="4" xfId="0" applyNumberFormat="1" applyFont="1" applyBorder="1" applyAlignment="1">
      <alignment horizontal="center"/>
    </xf>
    <xf numFmtId="16" fontId="7" fillId="0" borderId="3" xfId="0" applyNumberFormat="1" applyFont="1" applyBorder="1" applyAlignment="1">
      <alignment horizontal="center"/>
    </xf>
    <xf numFmtId="0" fontId="5" fillId="0" borderId="4" xfId="0" applyFont="1" applyBorder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4B3F7-61C8-8B4D-93D9-4422E0E7D062}">
  <dimension ref="A2:Q38"/>
  <sheetViews>
    <sheetView workbookViewId="0">
      <selection activeCell="M19" sqref="M19"/>
    </sheetView>
  </sheetViews>
  <sheetFormatPr baseColWidth="10" defaultRowHeight="16" x14ac:dyDescent="0.2"/>
  <cols>
    <col min="3" max="3" width="20.33203125" bestFit="1" customWidth="1"/>
    <col min="5" max="5" width="25.83203125" bestFit="1" customWidth="1"/>
    <col min="7" max="7" width="14.83203125" bestFit="1" customWidth="1"/>
    <col min="10" max="10" width="14" bestFit="1" customWidth="1"/>
    <col min="11" max="11" width="12.5" bestFit="1" customWidth="1"/>
    <col min="13" max="13" width="18.83203125" bestFit="1" customWidth="1"/>
    <col min="14" max="14" width="16" bestFit="1" customWidth="1"/>
    <col min="17" max="17" width="12.6640625" bestFit="1" customWidth="1"/>
  </cols>
  <sheetData>
    <row r="2" spans="1:17" ht="19" x14ac:dyDescent="0.25">
      <c r="A2" s="7"/>
      <c r="B2" s="7"/>
      <c r="C2" s="8" t="s">
        <v>111</v>
      </c>
      <c r="D2" s="7" t="s">
        <v>94</v>
      </c>
      <c r="E2" s="7" t="s">
        <v>136</v>
      </c>
      <c r="F2" s="7"/>
      <c r="G2" s="8" t="s">
        <v>112</v>
      </c>
      <c r="H2" s="7" t="s">
        <v>6</v>
      </c>
      <c r="I2" s="7"/>
      <c r="J2" s="8" t="s">
        <v>128</v>
      </c>
      <c r="K2" s="7"/>
      <c r="L2" s="7"/>
      <c r="M2" s="8" t="s">
        <v>113</v>
      </c>
      <c r="N2" s="7"/>
      <c r="O2" s="7"/>
      <c r="Q2" s="8" t="s">
        <v>148</v>
      </c>
    </row>
    <row r="3" spans="1:17" ht="19" x14ac:dyDescent="0.25">
      <c r="A3" s="7"/>
      <c r="B3" s="7"/>
      <c r="C3" s="9" t="s">
        <v>95</v>
      </c>
      <c r="D3" s="7" t="s">
        <v>145</v>
      </c>
      <c r="E3" s="7"/>
      <c r="F3" s="7"/>
      <c r="G3" s="7" t="s">
        <v>106</v>
      </c>
      <c r="H3" s="7" t="s">
        <v>145</v>
      </c>
      <c r="I3" s="7"/>
      <c r="J3" s="9" t="s">
        <v>110</v>
      </c>
      <c r="K3" s="7">
        <v>2</v>
      </c>
      <c r="L3" s="7"/>
      <c r="M3" s="9" t="s">
        <v>96</v>
      </c>
      <c r="N3" s="7" t="s">
        <v>145</v>
      </c>
      <c r="O3" s="7"/>
      <c r="Q3" s="9" t="s">
        <v>149</v>
      </c>
    </row>
    <row r="4" spans="1:17" ht="19" x14ac:dyDescent="0.25">
      <c r="A4" s="7"/>
      <c r="B4" s="7"/>
      <c r="C4" s="9" t="s">
        <v>155</v>
      </c>
      <c r="D4" s="7">
        <v>4</v>
      </c>
      <c r="E4" s="7"/>
      <c r="F4" s="7"/>
      <c r="G4" s="9" t="s">
        <v>107</v>
      </c>
      <c r="H4" s="7" t="s">
        <v>145</v>
      </c>
      <c r="I4" s="7"/>
      <c r="J4" s="9" t="s">
        <v>55</v>
      </c>
      <c r="K4" s="7" t="s">
        <v>145</v>
      </c>
      <c r="L4" s="7"/>
      <c r="M4" s="9" t="s">
        <v>100</v>
      </c>
      <c r="N4" s="7" t="s">
        <v>145</v>
      </c>
      <c r="O4" s="7"/>
      <c r="Q4" s="7" t="s">
        <v>150</v>
      </c>
    </row>
    <row r="5" spans="1:17" ht="19" x14ac:dyDescent="0.25">
      <c r="A5" s="7"/>
      <c r="B5" s="7"/>
      <c r="C5" s="7" t="s">
        <v>97</v>
      </c>
      <c r="D5" s="7"/>
      <c r="E5" s="7"/>
      <c r="F5" s="7"/>
      <c r="G5" s="9" t="s">
        <v>108</v>
      </c>
      <c r="H5" s="7" t="s">
        <v>145</v>
      </c>
      <c r="I5" s="7"/>
      <c r="J5" s="9" t="s">
        <v>126</v>
      </c>
      <c r="K5" s="7" t="s">
        <v>145</v>
      </c>
      <c r="L5" s="7"/>
      <c r="M5" s="9" t="s">
        <v>134</v>
      </c>
      <c r="N5" s="7" t="s">
        <v>145</v>
      </c>
      <c r="O5" s="7"/>
    </row>
    <row r="6" spans="1:17" ht="19" x14ac:dyDescent="0.25">
      <c r="A6" s="7"/>
      <c r="B6" s="7"/>
      <c r="C6" s="7" t="s">
        <v>98</v>
      </c>
      <c r="D6" s="7"/>
      <c r="E6" s="7"/>
      <c r="F6" s="7"/>
      <c r="G6" s="9" t="s">
        <v>109</v>
      </c>
      <c r="H6" s="7" t="s">
        <v>145</v>
      </c>
      <c r="I6" s="7"/>
      <c r="J6" s="9" t="s">
        <v>127</v>
      </c>
      <c r="K6" s="7" t="s">
        <v>145</v>
      </c>
      <c r="L6" s="7"/>
      <c r="M6" s="9" t="s">
        <v>152</v>
      </c>
      <c r="N6" s="7" t="s">
        <v>145</v>
      </c>
      <c r="O6" s="7"/>
    </row>
    <row r="7" spans="1:17" ht="19" x14ac:dyDescent="0.25">
      <c r="A7" s="7"/>
      <c r="B7" s="7"/>
      <c r="C7" s="9" t="s">
        <v>120</v>
      </c>
      <c r="D7" s="7" t="s">
        <v>145</v>
      </c>
      <c r="E7" s="7"/>
      <c r="F7" s="7"/>
      <c r="G7" s="9" t="s">
        <v>125</v>
      </c>
      <c r="H7" s="7" t="s">
        <v>145</v>
      </c>
      <c r="I7" s="7"/>
      <c r="J7" s="9" t="s">
        <v>129</v>
      </c>
      <c r="K7" s="7" t="s">
        <v>145</v>
      </c>
      <c r="L7" s="7"/>
      <c r="M7" s="9" t="s">
        <v>137</v>
      </c>
      <c r="N7" s="7" t="s">
        <v>145</v>
      </c>
      <c r="O7" s="7"/>
    </row>
    <row r="8" spans="1:17" ht="19" x14ac:dyDescent="0.25">
      <c r="A8" s="7"/>
      <c r="B8" s="7"/>
      <c r="C8" s="9" t="s">
        <v>99</v>
      </c>
      <c r="D8" s="7" t="s">
        <v>154</v>
      </c>
      <c r="E8" s="7" t="s">
        <v>135</v>
      </c>
      <c r="F8" s="7"/>
      <c r="G8" s="9" t="s">
        <v>101</v>
      </c>
      <c r="H8" s="7" t="s">
        <v>145</v>
      </c>
      <c r="I8" s="7"/>
      <c r="J8" s="9" t="s">
        <v>105</v>
      </c>
      <c r="K8" s="7" t="s">
        <v>145</v>
      </c>
      <c r="L8" s="7"/>
      <c r="M8" s="7" t="s">
        <v>139</v>
      </c>
      <c r="N8" s="7"/>
      <c r="O8" s="7"/>
    </row>
    <row r="9" spans="1:17" ht="19" x14ac:dyDescent="0.25">
      <c r="A9" s="7"/>
      <c r="B9" s="7"/>
      <c r="C9" s="9" t="s">
        <v>114</v>
      </c>
      <c r="D9" s="7" t="s">
        <v>164</v>
      </c>
      <c r="E9" s="7"/>
      <c r="F9" s="7"/>
      <c r="G9" s="9" t="s">
        <v>102</v>
      </c>
      <c r="H9" s="7" t="s">
        <v>145</v>
      </c>
      <c r="I9" s="7"/>
      <c r="J9" s="9" t="s">
        <v>130</v>
      </c>
      <c r="K9" s="7" t="s">
        <v>145</v>
      </c>
      <c r="L9" s="7"/>
      <c r="M9" s="9" t="s">
        <v>146</v>
      </c>
      <c r="N9" s="7" t="s">
        <v>145</v>
      </c>
      <c r="O9" s="7"/>
    </row>
    <row r="10" spans="1:17" ht="19" x14ac:dyDescent="0.25">
      <c r="A10" s="7"/>
      <c r="B10" s="7"/>
      <c r="C10" s="9" t="s">
        <v>118</v>
      </c>
      <c r="D10" s="7" t="s">
        <v>140</v>
      </c>
      <c r="E10" s="7"/>
      <c r="F10" s="7"/>
      <c r="G10" s="9" t="s">
        <v>103</v>
      </c>
      <c r="H10" s="7" t="s">
        <v>145</v>
      </c>
      <c r="I10" s="7"/>
      <c r="J10" s="9" t="s">
        <v>131</v>
      </c>
      <c r="K10" s="7" t="s">
        <v>145</v>
      </c>
      <c r="L10" s="7"/>
      <c r="M10" s="7" t="s">
        <v>147</v>
      </c>
      <c r="N10" s="7"/>
      <c r="O10" s="7"/>
    </row>
    <row r="11" spans="1:17" ht="19" x14ac:dyDescent="0.25">
      <c r="A11" s="7"/>
      <c r="B11" s="7"/>
      <c r="C11" s="9" t="s">
        <v>119</v>
      </c>
      <c r="D11" s="7">
        <v>1</v>
      </c>
      <c r="E11" s="7"/>
      <c r="F11" s="7"/>
      <c r="G11" s="9" t="s">
        <v>115</v>
      </c>
      <c r="H11" s="7" t="s">
        <v>145</v>
      </c>
      <c r="I11" s="7"/>
      <c r="J11" s="7" t="s">
        <v>104</v>
      </c>
      <c r="K11" s="7" t="s">
        <v>145</v>
      </c>
      <c r="L11" s="7"/>
      <c r="M11" s="7" t="s">
        <v>151</v>
      </c>
      <c r="N11" s="7"/>
      <c r="O11" s="7"/>
    </row>
    <row r="12" spans="1:17" ht="19" x14ac:dyDescent="0.25">
      <c r="A12" s="7"/>
      <c r="B12" s="7"/>
      <c r="C12" s="9" t="s">
        <v>121</v>
      </c>
      <c r="D12" s="7" t="s">
        <v>145</v>
      </c>
      <c r="E12" s="7"/>
      <c r="F12" s="7"/>
      <c r="G12" s="7" t="s">
        <v>116</v>
      </c>
      <c r="H12" s="7" t="s">
        <v>145</v>
      </c>
      <c r="I12" s="7"/>
      <c r="J12" s="7" t="s">
        <v>132</v>
      </c>
      <c r="K12" s="7"/>
      <c r="L12" s="7"/>
      <c r="M12" s="7" t="s">
        <v>153</v>
      </c>
      <c r="N12" s="7"/>
      <c r="O12" s="7"/>
    </row>
    <row r="13" spans="1:17" ht="19" x14ac:dyDescent="0.25">
      <c r="A13" s="7"/>
      <c r="B13" s="7"/>
      <c r="C13" s="9" t="s">
        <v>138</v>
      </c>
      <c r="D13" s="7">
        <v>1</v>
      </c>
      <c r="E13" s="7"/>
      <c r="F13" s="7"/>
      <c r="G13" s="9" t="s">
        <v>117</v>
      </c>
      <c r="H13" s="7" t="s">
        <v>145</v>
      </c>
      <c r="I13" s="7"/>
      <c r="J13" s="9" t="s">
        <v>133</v>
      </c>
      <c r="K13" s="7" t="s">
        <v>145</v>
      </c>
      <c r="L13" s="7"/>
      <c r="M13" s="7"/>
      <c r="N13" s="7"/>
      <c r="O13" s="7"/>
    </row>
    <row r="14" spans="1:17" ht="19" x14ac:dyDescent="0.25">
      <c r="A14" s="7"/>
      <c r="B14" s="7"/>
      <c r="C14" s="7" t="s">
        <v>141</v>
      </c>
      <c r="D14" s="7"/>
      <c r="E14" s="7"/>
      <c r="F14" s="7"/>
      <c r="G14" s="7" t="s">
        <v>122</v>
      </c>
      <c r="H14" s="7" t="s">
        <v>145</v>
      </c>
      <c r="I14" s="7"/>
      <c r="J14" s="7"/>
      <c r="K14" s="7"/>
      <c r="L14" s="7"/>
      <c r="M14" s="7"/>
      <c r="N14" s="7"/>
      <c r="O14" s="7"/>
    </row>
    <row r="15" spans="1:17" ht="19" x14ac:dyDescent="0.25">
      <c r="A15" s="7"/>
      <c r="B15" s="7"/>
      <c r="C15" s="7" t="s">
        <v>142</v>
      </c>
      <c r="D15" s="7"/>
      <c r="E15" s="7"/>
      <c r="F15" s="7"/>
      <c r="G15" t="s">
        <v>123</v>
      </c>
      <c r="H15" s="7" t="s">
        <v>145</v>
      </c>
      <c r="I15" s="7"/>
      <c r="J15" s="7"/>
      <c r="K15" s="7"/>
      <c r="L15" s="7"/>
      <c r="M15" s="7"/>
      <c r="N15" s="7"/>
      <c r="O15" s="7"/>
    </row>
    <row r="16" spans="1:17" ht="19" x14ac:dyDescent="0.25">
      <c r="A16" s="7"/>
      <c r="B16" s="7"/>
      <c r="C16" s="9" t="s">
        <v>156</v>
      </c>
      <c r="D16" s="7">
        <v>1</v>
      </c>
      <c r="E16" s="7"/>
      <c r="F16" s="7"/>
      <c r="G16" s="9" t="s">
        <v>124</v>
      </c>
      <c r="H16" s="7" t="s">
        <v>145</v>
      </c>
      <c r="I16" s="7"/>
      <c r="J16" s="7"/>
      <c r="K16" s="7"/>
      <c r="L16" s="7"/>
      <c r="M16" s="7"/>
      <c r="N16" s="7"/>
      <c r="O16" s="7"/>
    </row>
    <row r="17" spans="1:15" ht="19" x14ac:dyDescent="0.25">
      <c r="A17" s="7"/>
      <c r="B17" s="7"/>
      <c r="C17" s="9" t="s">
        <v>157</v>
      </c>
      <c r="D17" s="7">
        <v>2</v>
      </c>
      <c r="E17" s="7"/>
      <c r="F17" s="7"/>
      <c r="I17" s="7"/>
      <c r="J17" s="7"/>
      <c r="K17" s="7"/>
      <c r="L17" s="7"/>
      <c r="M17" s="8" t="s">
        <v>160</v>
      </c>
      <c r="N17" s="7"/>
      <c r="O17" s="7"/>
    </row>
    <row r="18" spans="1:15" ht="19" x14ac:dyDescent="0.25">
      <c r="A18" s="7"/>
      <c r="B18" s="7"/>
      <c r="C18" s="9" t="s">
        <v>158</v>
      </c>
      <c r="D18" s="7">
        <v>2</v>
      </c>
      <c r="E18" s="7"/>
      <c r="F18" s="7"/>
      <c r="I18" s="7"/>
      <c r="J18" s="7"/>
      <c r="K18" s="7"/>
      <c r="L18" s="7"/>
      <c r="M18" s="9" t="s">
        <v>143</v>
      </c>
      <c r="N18" s="7" t="s">
        <v>145</v>
      </c>
      <c r="O18" s="7"/>
    </row>
    <row r="19" spans="1:15" ht="19" x14ac:dyDescent="0.25">
      <c r="A19" s="7"/>
      <c r="B19" s="7"/>
      <c r="D19" s="7"/>
      <c r="E19" s="7"/>
      <c r="F19" s="7"/>
      <c r="I19" s="7"/>
      <c r="J19" s="7"/>
      <c r="K19" s="7"/>
      <c r="L19" s="7"/>
      <c r="M19" s="9" t="s">
        <v>144</v>
      </c>
      <c r="N19" s="7" t="s">
        <v>145</v>
      </c>
      <c r="O19" s="7"/>
    </row>
    <row r="20" spans="1:15" ht="19" x14ac:dyDescent="0.25">
      <c r="A20" s="7"/>
      <c r="B20" s="7"/>
      <c r="D20" s="7"/>
      <c r="E20" s="7"/>
      <c r="F20" s="7"/>
      <c r="G20" s="7"/>
      <c r="H20" s="7"/>
      <c r="I20" s="7"/>
      <c r="J20" s="7"/>
      <c r="K20" s="7"/>
      <c r="L20" s="7"/>
      <c r="M20" s="7" t="s">
        <v>159</v>
      </c>
      <c r="N20" s="7" t="s">
        <v>145</v>
      </c>
      <c r="O20" s="7"/>
    </row>
    <row r="21" spans="1:15" ht="19" x14ac:dyDescent="0.25">
      <c r="A21" s="7"/>
      <c r="B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ht="19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ht="19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ht="19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ht="19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ht="19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ht="19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ht="19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ht="19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ht="19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ht="19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ht="19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ht="19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ht="19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ht="19" x14ac:dyDescent="0.25">
      <c r="C35" s="7"/>
      <c r="D35" s="7"/>
      <c r="E35" s="7"/>
      <c r="K35" s="7"/>
      <c r="L35" s="7"/>
    </row>
    <row r="36" spans="1:15" ht="19" x14ac:dyDescent="0.25">
      <c r="C36" s="7"/>
      <c r="D36" s="7"/>
      <c r="E36" s="7"/>
      <c r="K36" s="7"/>
      <c r="L36" s="7"/>
    </row>
    <row r="37" spans="1:15" ht="19" x14ac:dyDescent="0.25">
      <c r="C37" s="7"/>
      <c r="D37" s="7"/>
      <c r="E37" s="7"/>
      <c r="K37" s="7"/>
      <c r="L37" s="7"/>
    </row>
    <row r="38" spans="1:15" ht="19" x14ac:dyDescent="0.25">
      <c r="C38" s="7"/>
      <c r="D38" s="7"/>
      <c r="E38" s="7"/>
      <c r="K38" s="7"/>
      <c r="L38" s="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62E2-E137-8C46-908B-99FF3FA78C22}">
  <dimension ref="B2:R40"/>
  <sheetViews>
    <sheetView workbookViewId="0">
      <selection activeCell="O19" sqref="O19"/>
    </sheetView>
  </sheetViews>
  <sheetFormatPr baseColWidth="10" defaultRowHeight="16" x14ac:dyDescent="0.2"/>
  <cols>
    <col min="3" max="3" width="11" bestFit="1" customWidth="1"/>
    <col min="4" max="4" width="18.6640625" bestFit="1" customWidth="1"/>
    <col min="5" max="5" width="14.1640625" bestFit="1" customWidth="1"/>
    <col min="6" max="6" width="11" bestFit="1" customWidth="1"/>
    <col min="7" max="7" width="12.1640625" bestFit="1" customWidth="1"/>
    <col min="8" max="8" width="14.5" bestFit="1" customWidth="1"/>
    <col min="9" max="9" width="16" bestFit="1" customWidth="1"/>
    <col min="10" max="10" width="13.1640625" bestFit="1" customWidth="1"/>
    <col min="11" max="11" width="7.6640625" customWidth="1"/>
    <col min="12" max="12" width="6.5" customWidth="1"/>
    <col min="13" max="13" width="13.5" bestFit="1" customWidth="1"/>
    <col min="14" max="14" width="12.5" bestFit="1" customWidth="1"/>
    <col min="15" max="15" width="12" bestFit="1" customWidth="1"/>
    <col min="16" max="16" width="9.6640625" bestFit="1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M2" s="81" t="s">
        <v>44</v>
      </c>
      <c r="N2" s="82"/>
      <c r="O2" s="83"/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64</v>
      </c>
      <c r="G3" s="6" t="s">
        <v>10</v>
      </c>
      <c r="H3" s="6" t="s">
        <v>53</v>
      </c>
      <c r="I3" s="6" t="s">
        <v>7</v>
      </c>
      <c r="J3" s="6" t="s">
        <v>5</v>
      </c>
      <c r="K3" s="6" t="s">
        <v>11</v>
      </c>
      <c r="M3" s="6" t="s">
        <v>45</v>
      </c>
      <c r="N3" s="6" t="s">
        <v>4</v>
      </c>
      <c r="O3" s="6" t="s">
        <v>7</v>
      </c>
    </row>
    <row r="4" spans="2:18" ht="19" x14ac:dyDescent="0.25">
      <c r="B4" s="2">
        <v>38200</v>
      </c>
      <c r="C4" s="2">
        <v>39295</v>
      </c>
      <c r="D4" s="3" t="s">
        <v>8</v>
      </c>
      <c r="E4" s="3" t="s">
        <v>9</v>
      </c>
      <c r="F4" s="3">
        <v>243</v>
      </c>
      <c r="G4" s="3">
        <v>5053</v>
      </c>
      <c r="H4" s="4">
        <f>IF(K4="Y", G4*1.0413, G4)</f>
        <v>5261.6888999999992</v>
      </c>
      <c r="I4" s="3" t="s">
        <v>170</v>
      </c>
      <c r="J4" s="3">
        <v>3</v>
      </c>
      <c r="K4" s="3" t="s">
        <v>12</v>
      </c>
      <c r="M4" s="3" t="s">
        <v>46</v>
      </c>
      <c r="N4" s="3">
        <v>2750</v>
      </c>
      <c r="O4" s="3" t="s">
        <v>47</v>
      </c>
    </row>
    <row r="5" spans="2:18" ht="19" x14ac:dyDescent="0.25">
      <c r="B5" s="2">
        <v>39295</v>
      </c>
      <c r="C5" s="2">
        <v>40391</v>
      </c>
      <c r="D5" s="3" t="s">
        <v>13</v>
      </c>
      <c r="E5" s="3" t="s">
        <v>14</v>
      </c>
      <c r="F5" s="3">
        <v>211</v>
      </c>
      <c r="G5" s="3">
        <v>4396</v>
      </c>
      <c r="H5" s="4">
        <f>IF(K5="Y", G5*1.0413, G5)</f>
        <v>4577.5547999999999</v>
      </c>
      <c r="I5" s="3" t="s">
        <v>70</v>
      </c>
      <c r="J5" s="3">
        <v>3</v>
      </c>
      <c r="K5" s="3" t="s">
        <v>12</v>
      </c>
      <c r="M5" s="3" t="s">
        <v>48</v>
      </c>
      <c r="N5" s="3">
        <v>8272</v>
      </c>
      <c r="O5" s="3"/>
    </row>
    <row r="6" spans="2:18" ht="19" x14ac:dyDescent="0.25">
      <c r="B6" s="2">
        <v>40391</v>
      </c>
      <c r="C6" s="2">
        <v>41122</v>
      </c>
      <c r="D6" s="3" t="s">
        <v>15</v>
      </c>
      <c r="E6" s="3" t="s">
        <v>16</v>
      </c>
      <c r="F6" s="3">
        <v>125</v>
      </c>
      <c r="G6" s="3">
        <v>2599</v>
      </c>
      <c r="H6" s="4">
        <f>IF(K6="Y", G6*1.0413, G6)</f>
        <v>2599</v>
      </c>
      <c r="I6" s="3" t="s">
        <v>71</v>
      </c>
      <c r="J6" s="3">
        <v>2</v>
      </c>
      <c r="K6" s="3" t="s">
        <v>17</v>
      </c>
      <c r="M6" s="3" t="s">
        <v>49</v>
      </c>
      <c r="N6" s="3">
        <v>1757</v>
      </c>
      <c r="O6" s="3"/>
    </row>
    <row r="7" spans="2:18" ht="19" x14ac:dyDescent="0.25">
      <c r="B7" s="2">
        <v>41122</v>
      </c>
      <c r="C7" s="2">
        <v>42948</v>
      </c>
      <c r="D7" s="3" t="s">
        <v>18</v>
      </c>
      <c r="E7" s="3" t="s">
        <v>19</v>
      </c>
      <c r="F7" s="3">
        <v>342</v>
      </c>
      <c r="G7" s="3">
        <v>7112</v>
      </c>
      <c r="H7" s="4">
        <f>IF(K7="Y", G7*1.0413, G7)</f>
        <v>7405.7255999999988</v>
      </c>
      <c r="I7" s="3" t="s">
        <v>72</v>
      </c>
      <c r="J7" s="3">
        <v>5</v>
      </c>
      <c r="K7" s="3" t="s">
        <v>12</v>
      </c>
      <c r="M7" s="3" t="s">
        <v>50</v>
      </c>
      <c r="N7" s="3">
        <v>3098</v>
      </c>
      <c r="O7" s="3" t="s">
        <v>52</v>
      </c>
    </row>
    <row r="8" spans="2:18" ht="19" x14ac:dyDescent="0.25">
      <c r="B8" s="2"/>
      <c r="C8" s="2"/>
      <c r="D8" s="3"/>
      <c r="E8" s="3"/>
      <c r="F8" s="3">
        <f>SUM(F4:F7)</f>
        <v>921</v>
      </c>
      <c r="G8" s="3">
        <f>SUM(G4:G7)</f>
        <v>19160</v>
      </c>
      <c r="H8" s="5">
        <f>SUM(H4:H7)</f>
        <v>19843.969299999997</v>
      </c>
      <c r="I8" s="3"/>
      <c r="J8" s="3">
        <f>SUM(J4:J7)</f>
        <v>13</v>
      </c>
      <c r="K8" s="1"/>
      <c r="M8" s="3" t="s">
        <v>51</v>
      </c>
      <c r="N8" s="3">
        <v>1678</v>
      </c>
      <c r="O8" s="3" t="s">
        <v>52</v>
      </c>
    </row>
    <row r="9" spans="2:18" ht="19" x14ac:dyDescent="0.25">
      <c r="B9" s="105"/>
      <c r="C9" s="105"/>
      <c r="D9" s="105"/>
      <c r="E9" s="105"/>
      <c r="F9" s="105"/>
      <c r="G9" s="105"/>
      <c r="H9" s="105"/>
      <c r="I9" s="105"/>
      <c r="J9" s="105"/>
      <c r="K9" s="105"/>
      <c r="M9" s="3" t="s">
        <v>37</v>
      </c>
      <c r="N9" s="5">
        <f>SUM(N4:N8)</f>
        <v>17555</v>
      </c>
      <c r="O9" s="3"/>
    </row>
    <row r="10" spans="2:18" x14ac:dyDescent="0.2">
      <c r="B10" s="106"/>
      <c r="C10" s="106"/>
      <c r="D10" s="106"/>
      <c r="E10" s="106"/>
      <c r="F10" s="106"/>
      <c r="G10" s="106"/>
      <c r="H10" s="106"/>
      <c r="I10" s="106"/>
      <c r="J10" s="106"/>
      <c r="K10" s="106"/>
    </row>
    <row r="11" spans="2:18" ht="19" x14ac:dyDescent="0.25">
      <c r="B11" s="97" t="s">
        <v>68</v>
      </c>
      <c r="C11" s="97"/>
      <c r="D11" s="97"/>
      <c r="E11" s="97"/>
      <c r="F11" s="97"/>
      <c r="G11" s="97"/>
      <c r="H11" s="97"/>
      <c r="M11" s="97" t="s">
        <v>69</v>
      </c>
      <c r="N11" s="97"/>
      <c r="O11" s="97"/>
      <c r="P11" s="97"/>
      <c r="Q11" s="97"/>
      <c r="R11" s="97"/>
    </row>
    <row r="12" spans="2:18" ht="19" x14ac:dyDescent="0.25">
      <c r="B12" s="12" t="s">
        <v>20</v>
      </c>
      <c r="C12" s="12" t="s">
        <v>21</v>
      </c>
      <c r="D12" s="12" t="s">
        <v>2</v>
      </c>
      <c r="E12" s="12" t="s">
        <v>10</v>
      </c>
      <c r="F12" s="12" t="s">
        <v>64</v>
      </c>
      <c r="G12" s="12" t="s">
        <v>53</v>
      </c>
      <c r="H12" s="12" t="s">
        <v>11</v>
      </c>
      <c r="M12" s="6" t="s">
        <v>45</v>
      </c>
      <c r="N12" s="6" t="s">
        <v>64</v>
      </c>
      <c r="O12" s="6" t="s">
        <v>10</v>
      </c>
      <c r="P12" s="6" t="s">
        <v>53</v>
      </c>
      <c r="Q12" s="6" t="s">
        <v>7</v>
      </c>
      <c r="R12" s="6" t="s">
        <v>11</v>
      </c>
    </row>
    <row r="13" spans="2:18" ht="19" x14ac:dyDescent="0.25">
      <c r="B13" s="2">
        <v>38200</v>
      </c>
      <c r="C13" s="3" t="s">
        <v>8</v>
      </c>
      <c r="D13" s="3" t="s">
        <v>23</v>
      </c>
      <c r="E13" s="4">
        <v>852.67</v>
      </c>
      <c r="F13" s="4">
        <v>41</v>
      </c>
      <c r="G13" s="4">
        <f t="shared" ref="G13:G20" si="0">IF(H13="Y",E13*1.0413,E13)</f>
        <v>852.67</v>
      </c>
      <c r="H13" s="3" t="s">
        <v>17</v>
      </c>
      <c r="M13" s="3" t="s">
        <v>54</v>
      </c>
      <c r="N13" s="4">
        <v>25</v>
      </c>
      <c r="O13" s="4">
        <v>519.92999999999995</v>
      </c>
      <c r="P13" s="4">
        <f>IF(R13="Y",O13*1.0413,O13)</f>
        <v>541.40310899999986</v>
      </c>
      <c r="Q13" s="3"/>
      <c r="R13" s="3" t="s">
        <v>12</v>
      </c>
    </row>
    <row r="14" spans="2:18" ht="19" x14ac:dyDescent="0.25">
      <c r="B14" s="2">
        <v>38565</v>
      </c>
      <c r="C14" s="3" t="s">
        <v>8</v>
      </c>
      <c r="D14" s="3" t="s">
        <v>165</v>
      </c>
      <c r="E14" s="4">
        <v>747</v>
      </c>
      <c r="F14" s="4">
        <v>35</v>
      </c>
      <c r="G14" s="4">
        <f t="shared" si="0"/>
        <v>747</v>
      </c>
      <c r="H14" s="3" t="s">
        <v>17</v>
      </c>
      <c r="M14" s="3" t="s">
        <v>54</v>
      </c>
      <c r="N14" s="4">
        <v>125</v>
      </c>
      <c r="O14" s="3">
        <v>2647</v>
      </c>
      <c r="P14" s="4">
        <f>IF(R14="Y",O14*1.0413,O14)</f>
        <v>2647</v>
      </c>
      <c r="Q14" s="3"/>
      <c r="R14" s="3" t="s">
        <v>17</v>
      </c>
    </row>
    <row r="15" spans="2:18" ht="19" x14ac:dyDescent="0.25">
      <c r="B15" s="2">
        <v>38565</v>
      </c>
      <c r="C15" s="3" t="s">
        <v>8</v>
      </c>
      <c r="D15" s="3" t="s">
        <v>166</v>
      </c>
      <c r="E15" s="4">
        <v>1933</v>
      </c>
      <c r="F15" s="4">
        <v>90</v>
      </c>
      <c r="G15" s="4">
        <f t="shared" si="0"/>
        <v>1933</v>
      </c>
      <c r="H15" s="3" t="s">
        <v>17</v>
      </c>
      <c r="M15" s="3" t="s">
        <v>54</v>
      </c>
      <c r="N15" s="4">
        <v>50</v>
      </c>
      <c r="O15" s="3">
        <v>1072</v>
      </c>
      <c r="P15" s="4">
        <f>IF(R15="Y",O15*1.0413,O15)</f>
        <v>1072</v>
      </c>
      <c r="Q15" s="3"/>
      <c r="R15" s="3" t="s">
        <v>17</v>
      </c>
    </row>
    <row r="16" spans="2:18" ht="19" x14ac:dyDescent="0.25">
      <c r="B16" s="2">
        <v>38930</v>
      </c>
      <c r="C16" s="3" t="s">
        <v>24</v>
      </c>
      <c r="D16" s="3" t="s">
        <v>25</v>
      </c>
      <c r="E16" s="4">
        <v>1663.76</v>
      </c>
      <c r="F16" s="4">
        <v>80</v>
      </c>
      <c r="G16" s="4">
        <f t="shared" si="0"/>
        <v>1663.76</v>
      </c>
      <c r="H16" s="3" t="s">
        <v>17</v>
      </c>
      <c r="M16" s="3" t="s">
        <v>169</v>
      </c>
      <c r="N16" s="4">
        <v>1000</v>
      </c>
      <c r="O16" s="4">
        <v>21081</v>
      </c>
      <c r="P16" s="4">
        <v>21081</v>
      </c>
      <c r="Q16" s="3"/>
      <c r="R16" s="3" t="s">
        <v>17</v>
      </c>
    </row>
    <row r="17" spans="2:18" ht="19" x14ac:dyDescent="0.25">
      <c r="B17" s="2">
        <v>39661</v>
      </c>
      <c r="C17" s="3" t="s">
        <v>13</v>
      </c>
      <c r="D17" s="3" t="s">
        <v>167</v>
      </c>
      <c r="E17" s="4">
        <v>1920</v>
      </c>
      <c r="F17" s="4">
        <v>90</v>
      </c>
      <c r="G17" s="4">
        <f t="shared" si="0"/>
        <v>1920</v>
      </c>
      <c r="H17" s="3" t="s">
        <v>17</v>
      </c>
      <c r="M17" s="3" t="s">
        <v>37</v>
      </c>
      <c r="N17" s="4">
        <f>SUM(N13:N16)</f>
        <v>1200</v>
      </c>
      <c r="O17" s="4">
        <f>SUM(O13:O16)</f>
        <v>25319.93</v>
      </c>
      <c r="P17" s="5">
        <f>SUM(P13:P16)</f>
        <v>25341.403108999999</v>
      </c>
      <c r="Q17" s="3"/>
      <c r="R17" s="1"/>
    </row>
    <row r="18" spans="2:18" ht="19" x14ac:dyDescent="0.25">
      <c r="B18" s="2">
        <v>39661</v>
      </c>
      <c r="C18" s="3" t="s">
        <v>13</v>
      </c>
      <c r="D18" s="3" t="s">
        <v>26</v>
      </c>
      <c r="E18" s="4">
        <v>0</v>
      </c>
      <c r="F18" s="4">
        <v>0</v>
      </c>
      <c r="G18" s="4">
        <f t="shared" si="0"/>
        <v>0</v>
      </c>
      <c r="H18" s="3" t="s">
        <v>17</v>
      </c>
    </row>
    <row r="19" spans="2:18" ht="19" x14ac:dyDescent="0.25">
      <c r="B19" s="2">
        <v>40026</v>
      </c>
      <c r="C19" s="3" t="s">
        <v>13</v>
      </c>
      <c r="D19" s="3" t="s">
        <v>27</v>
      </c>
      <c r="E19" s="4">
        <v>638</v>
      </c>
      <c r="F19" s="4">
        <v>30</v>
      </c>
      <c r="G19" s="4">
        <f t="shared" si="0"/>
        <v>638</v>
      </c>
      <c r="H19" s="3" t="s">
        <v>17</v>
      </c>
    </row>
    <row r="20" spans="2:18" ht="19" x14ac:dyDescent="0.25">
      <c r="B20" s="2">
        <v>41487</v>
      </c>
      <c r="C20" s="3" t="s">
        <v>28</v>
      </c>
      <c r="D20" s="3" t="s">
        <v>29</v>
      </c>
      <c r="E20" s="4">
        <v>2994.78</v>
      </c>
      <c r="F20" s="4">
        <v>140</v>
      </c>
      <c r="G20" s="4">
        <f t="shared" si="0"/>
        <v>2994.78</v>
      </c>
      <c r="H20" s="3" t="s">
        <v>17</v>
      </c>
      <c r="M20" s="97" t="s">
        <v>38</v>
      </c>
      <c r="N20" s="97"/>
      <c r="O20" s="97"/>
      <c r="P20" s="97"/>
      <c r="Q20" s="97"/>
      <c r="R20" s="97"/>
    </row>
    <row r="21" spans="2:18" ht="19" x14ac:dyDescent="0.25">
      <c r="B21" s="2">
        <v>41487</v>
      </c>
      <c r="C21" s="3" t="s">
        <v>18</v>
      </c>
      <c r="D21" s="3" t="s">
        <v>161</v>
      </c>
      <c r="E21" s="4">
        <v>756</v>
      </c>
      <c r="F21" s="4">
        <v>36</v>
      </c>
      <c r="G21" s="4">
        <v>756</v>
      </c>
      <c r="H21" s="3" t="s">
        <v>17</v>
      </c>
      <c r="M21" s="6" t="s">
        <v>20</v>
      </c>
      <c r="N21" s="6" t="s">
        <v>32</v>
      </c>
      <c r="O21" s="6" t="s">
        <v>4</v>
      </c>
      <c r="P21" s="76" t="s">
        <v>7</v>
      </c>
      <c r="Q21" s="76"/>
      <c r="R21" s="76"/>
    </row>
    <row r="22" spans="2:18" ht="19" x14ac:dyDescent="0.25">
      <c r="B22" s="2">
        <v>41852</v>
      </c>
      <c r="C22" s="3" t="s">
        <v>30</v>
      </c>
      <c r="D22" s="3" t="s">
        <v>31</v>
      </c>
      <c r="E22" s="4">
        <v>1990.26</v>
      </c>
      <c r="F22" s="4">
        <v>95</v>
      </c>
      <c r="G22" s="4">
        <f>IF(H22="Y",E22*1.0413,E22)</f>
        <v>1990.26</v>
      </c>
      <c r="H22" s="3" t="s">
        <v>17</v>
      </c>
      <c r="M22" s="2">
        <v>37834</v>
      </c>
      <c r="N22" s="3" t="s">
        <v>39</v>
      </c>
      <c r="O22" s="3">
        <v>45784</v>
      </c>
      <c r="P22" s="75" t="s">
        <v>40</v>
      </c>
      <c r="Q22" s="75"/>
      <c r="R22" s="75"/>
    </row>
    <row r="23" spans="2:18" ht="19" x14ac:dyDescent="0.25">
      <c r="B23" s="2">
        <v>42217</v>
      </c>
      <c r="C23" s="3" t="s">
        <v>18</v>
      </c>
      <c r="D23" s="3" t="s">
        <v>168</v>
      </c>
      <c r="E23" s="4">
        <v>520</v>
      </c>
      <c r="F23" s="4">
        <v>24</v>
      </c>
      <c r="G23" s="4">
        <f>IF(H23="Y",E23*1.0413,E23)</f>
        <v>520</v>
      </c>
      <c r="H23" s="3" t="s">
        <v>17</v>
      </c>
      <c r="M23" s="2">
        <v>42948</v>
      </c>
      <c r="N23" s="3" t="s">
        <v>41</v>
      </c>
      <c r="O23" s="3">
        <v>37988</v>
      </c>
      <c r="P23" s="75" t="s">
        <v>42</v>
      </c>
      <c r="Q23" s="75"/>
      <c r="R23" s="75"/>
    </row>
    <row r="24" spans="2:18" ht="19" x14ac:dyDescent="0.25">
      <c r="B24" s="2">
        <v>42583</v>
      </c>
      <c r="C24" s="3" t="s">
        <v>18</v>
      </c>
      <c r="D24" s="3" t="s">
        <v>163</v>
      </c>
      <c r="E24" s="4">
        <v>378</v>
      </c>
      <c r="F24" s="4">
        <v>18</v>
      </c>
      <c r="G24" s="4">
        <f>IF(H24="Y",E24*1.0413,E24)</f>
        <v>378</v>
      </c>
      <c r="H24" s="3" t="s">
        <v>17</v>
      </c>
      <c r="M24" s="3"/>
      <c r="N24" s="3"/>
      <c r="O24" s="5">
        <f>O22+O23</f>
        <v>83772</v>
      </c>
      <c r="P24" s="93" t="s">
        <v>43</v>
      </c>
      <c r="Q24" s="94"/>
      <c r="R24" s="108"/>
    </row>
    <row r="25" spans="2:18" ht="19" x14ac:dyDescent="0.25">
      <c r="B25" s="2">
        <v>42583</v>
      </c>
      <c r="C25" s="3" t="s">
        <v>18</v>
      </c>
      <c r="D25" s="3" t="s">
        <v>162</v>
      </c>
      <c r="E25" s="4">
        <v>756</v>
      </c>
      <c r="F25" s="4">
        <v>36</v>
      </c>
      <c r="G25" s="4">
        <f>IF(H25="Y",E25*1.0413,E25)</f>
        <v>756</v>
      </c>
      <c r="H25" s="3" t="s">
        <v>17</v>
      </c>
    </row>
    <row r="26" spans="2:18" ht="19" x14ac:dyDescent="0.25">
      <c r="B26" s="3"/>
      <c r="C26" s="3"/>
      <c r="D26" s="3"/>
      <c r="E26" s="4">
        <f>SUM(E13:E25)</f>
        <v>15149.470000000001</v>
      </c>
      <c r="F26" s="4">
        <f>SUM(F13:F25)</f>
        <v>715</v>
      </c>
      <c r="G26" s="5">
        <f>SUM(G13:G25)</f>
        <v>15149.470000000001</v>
      </c>
      <c r="H26" s="3"/>
    </row>
    <row r="27" spans="2:18" x14ac:dyDescent="0.2">
      <c r="B27" s="105"/>
      <c r="C27" s="105"/>
      <c r="D27" s="105"/>
      <c r="E27" s="105"/>
      <c r="F27" s="105"/>
      <c r="G27" s="105"/>
      <c r="H27" s="105"/>
      <c r="I27" s="106"/>
      <c r="J27" s="106"/>
      <c r="K27" s="106"/>
    </row>
    <row r="28" spans="2:18" x14ac:dyDescent="0.2">
      <c r="B28" s="107"/>
      <c r="C28" s="107"/>
      <c r="D28" s="107"/>
      <c r="E28" s="107"/>
      <c r="F28" s="107"/>
      <c r="G28" s="107"/>
      <c r="H28" s="107"/>
      <c r="I28" s="107"/>
      <c r="J28" s="107"/>
      <c r="K28" s="107"/>
    </row>
    <row r="29" spans="2:18" ht="19" x14ac:dyDescent="0.25">
      <c r="B29" s="97" t="s">
        <v>33</v>
      </c>
      <c r="C29" s="97"/>
      <c r="D29" s="97"/>
      <c r="E29" s="97"/>
      <c r="F29" s="97"/>
      <c r="G29" s="97"/>
      <c r="H29" s="97"/>
      <c r="I29" s="97"/>
      <c r="J29" s="97"/>
      <c r="K29" s="97"/>
      <c r="M29" s="97" t="s">
        <v>57</v>
      </c>
      <c r="N29" s="97"/>
    </row>
    <row r="30" spans="2:18" ht="19" x14ac:dyDescent="0.25">
      <c r="B30" s="6" t="s">
        <v>20</v>
      </c>
      <c r="C30" s="6" t="s">
        <v>65</v>
      </c>
      <c r="D30" s="6" t="s">
        <v>66</v>
      </c>
      <c r="E30" s="6" t="s">
        <v>34</v>
      </c>
      <c r="F30" s="6" t="s">
        <v>64</v>
      </c>
      <c r="G30" s="6" t="s">
        <v>53</v>
      </c>
      <c r="H30" s="6" t="s">
        <v>35</v>
      </c>
      <c r="I30" s="10" t="s">
        <v>7</v>
      </c>
      <c r="J30" s="6" t="s">
        <v>36</v>
      </c>
      <c r="K30" s="6" t="s">
        <v>11</v>
      </c>
      <c r="M30" s="6" t="s">
        <v>63</v>
      </c>
      <c r="N30" s="6" t="s">
        <v>53</v>
      </c>
    </row>
    <row r="31" spans="2:18" ht="19" x14ac:dyDescent="0.25">
      <c r="B31" s="2">
        <v>38930</v>
      </c>
      <c r="C31" s="3" t="s">
        <v>8</v>
      </c>
      <c r="D31" s="3" t="s">
        <v>24</v>
      </c>
      <c r="E31" s="3">
        <v>402</v>
      </c>
      <c r="F31" s="3">
        <v>19</v>
      </c>
      <c r="G31" s="3">
        <f t="shared" ref="G31:G37" si="1">IF(K31="Y",E31*1.0413,E31)</f>
        <v>402</v>
      </c>
      <c r="H31" s="3" t="s">
        <v>58</v>
      </c>
      <c r="I31" s="11"/>
      <c r="J31" s="3"/>
      <c r="K31" s="3" t="s">
        <v>17</v>
      </c>
      <c r="M31" s="5">
        <f>H8+G26+G38+O24+N9+P17</f>
        <v>167165.842409</v>
      </c>
      <c r="N31" s="5">
        <f>H8+G26+G38+N9+O24+P17</f>
        <v>167165.842409</v>
      </c>
    </row>
    <row r="32" spans="2:18" ht="19" x14ac:dyDescent="0.25">
      <c r="B32" s="2">
        <v>38930</v>
      </c>
      <c r="C32" s="3" t="s">
        <v>24</v>
      </c>
      <c r="D32" s="3" t="s">
        <v>8</v>
      </c>
      <c r="E32" s="3">
        <v>407</v>
      </c>
      <c r="F32" s="3">
        <v>19</v>
      </c>
      <c r="G32" s="3">
        <f t="shared" si="1"/>
        <v>407</v>
      </c>
      <c r="H32" s="3"/>
      <c r="I32" s="11"/>
      <c r="J32" s="3"/>
      <c r="K32" s="3" t="s">
        <v>17</v>
      </c>
    </row>
    <row r="33" spans="2:11" ht="19" x14ac:dyDescent="0.25">
      <c r="B33" s="2">
        <v>39295</v>
      </c>
      <c r="C33" s="3" t="s">
        <v>8</v>
      </c>
      <c r="D33" s="3" t="s">
        <v>13</v>
      </c>
      <c r="E33" s="3">
        <v>1278</v>
      </c>
      <c r="F33" s="3">
        <v>60.35</v>
      </c>
      <c r="G33" s="3">
        <f t="shared" si="1"/>
        <v>1278</v>
      </c>
      <c r="H33" s="3" t="s">
        <v>59</v>
      </c>
      <c r="I33" s="11"/>
      <c r="J33" s="3"/>
      <c r="K33" s="3" t="s">
        <v>17</v>
      </c>
    </row>
    <row r="34" spans="2:11" ht="19" x14ac:dyDescent="0.25">
      <c r="B34" s="2">
        <v>40391</v>
      </c>
      <c r="C34" s="3" t="s">
        <v>13</v>
      </c>
      <c r="D34" s="3" t="s">
        <v>15</v>
      </c>
      <c r="E34" s="3">
        <v>1321</v>
      </c>
      <c r="F34" s="3">
        <v>62.05</v>
      </c>
      <c r="G34" s="3">
        <f t="shared" si="1"/>
        <v>1321</v>
      </c>
      <c r="H34" s="3" t="s">
        <v>60</v>
      </c>
      <c r="I34" s="11"/>
      <c r="J34" s="3"/>
      <c r="K34" s="3" t="s">
        <v>17</v>
      </c>
    </row>
    <row r="35" spans="2:11" ht="19" x14ac:dyDescent="0.25">
      <c r="B35" s="2">
        <v>41122</v>
      </c>
      <c r="C35" s="3" t="s">
        <v>15</v>
      </c>
      <c r="D35" s="3" t="s">
        <v>18</v>
      </c>
      <c r="E35" s="3">
        <v>1258</v>
      </c>
      <c r="F35" s="3">
        <v>58.65</v>
      </c>
      <c r="G35" s="3">
        <f t="shared" si="1"/>
        <v>1258</v>
      </c>
      <c r="H35" s="3" t="s">
        <v>61</v>
      </c>
      <c r="I35" s="11"/>
      <c r="J35" s="3"/>
      <c r="K35" s="3" t="s">
        <v>17</v>
      </c>
    </row>
    <row r="36" spans="2:11" ht="19" x14ac:dyDescent="0.25">
      <c r="B36" s="2">
        <v>41852</v>
      </c>
      <c r="C36" s="3" t="s">
        <v>18</v>
      </c>
      <c r="D36" s="3" t="s">
        <v>30</v>
      </c>
      <c r="E36" s="3">
        <v>418</v>
      </c>
      <c r="F36" s="3">
        <v>19.5</v>
      </c>
      <c r="G36" s="3">
        <f t="shared" si="1"/>
        <v>418</v>
      </c>
      <c r="H36" s="3" t="s">
        <v>62</v>
      </c>
      <c r="I36" s="11"/>
      <c r="J36" s="3"/>
      <c r="K36" s="3" t="s">
        <v>17</v>
      </c>
    </row>
    <row r="37" spans="2:11" ht="19" x14ac:dyDescent="0.25">
      <c r="B37" s="2">
        <v>41852</v>
      </c>
      <c r="C37" s="3" t="s">
        <v>30</v>
      </c>
      <c r="D37" s="3" t="s">
        <v>18</v>
      </c>
      <c r="E37" s="3">
        <v>420</v>
      </c>
      <c r="F37" s="3">
        <v>19.5</v>
      </c>
      <c r="G37" s="3">
        <f t="shared" si="1"/>
        <v>420</v>
      </c>
      <c r="H37" s="3"/>
      <c r="I37" s="11"/>
      <c r="J37" s="3"/>
      <c r="K37" s="3" t="s">
        <v>17</v>
      </c>
    </row>
    <row r="38" spans="2:11" ht="19" x14ac:dyDescent="0.25">
      <c r="B38" s="3"/>
      <c r="C38" s="3"/>
      <c r="D38" s="1"/>
      <c r="E38" s="3"/>
      <c r="F38" s="4">
        <f>SUM(F31:F37)</f>
        <v>258.04999999999995</v>
      </c>
      <c r="G38" s="5">
        <f>SUM(G31:G37)</f>
        <v>5504</v>
      </c>
      <c r="H38" s="3"/>
      <c r="I38" s="11"/>
      <c r="J38" s="3"/>
      <c r="K38" s="3"/>
    </row>
    <row r="39" spans="2:11" x14ac:dyDescent="0.2"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0" spans="2:11" x14ac:dyDescent="0.2">
      <c r="B40" s="106"/>
      <c r="C40" s="106"/>
      <c r="D40" s="106"/>
      <c r="E40" s="106"/>
      <c r="F40" s="106"/>
      <c r="G40" s="106"/>
      <c r="H40" s="106"/>
      <c r="I40" s="106"/>
      <c r="J40" s="106"/>
      <c r="K40" s="106"/>
    </row>
  </sheetData>
  <mergeCells count="14">
    <mergeCell ref="B27:K28"/>
    <mergeCell ref="B11:H11"/>
    <mergeCell ref="B39:K40"/>
    <mergeCell ref="B2:K2"/>
    <mergeCell ref="P21:R21"/>
    <mergeCell ref="M29:N29"/>
    <mergeCell ref="M2:O2"/>
    <mergeCell ref="B29:K29"/>
    <mergeCell ref="M11:R11"/>
    <mergeCell ref="P23:R23"/>
    <mergeCell ref="M20:R20"/>
    <mergeCell ref="P24:R24"/>
    <mergeCell ref="P22:R22"/>
    <mergeCell ref="B9:K10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2C83-C121-0B46-BFB9-ED9D0A1C6C9A}">
  <dimension ref="B2:U112"/>
  <sheetViews>
    <sheetView topLeftCell="A28" zoomScale="109" zoomScaleNormal="110" workbookViewId="0">
      <selection activeCell="G41" sqref="G41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20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20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232</v>
      </c>
      <c r="G3" s="6" t="s">
        <v>53</v>
      </c>
      <c r="H3" s="77" t="s">
        <v>7</v>
      </c>
      <c r="I3" s="88"/>
      <c r="J3" s="88"/>
      <c r="K3" s="78"/>
      <c r="L3" s="6" t="s">
        <v>5</v>
      </c>
      <c r="N3" s="6" t="s">
        <v>45</v>
      </c>
      <c r="O3" s="6" t="s">
        <v>4</v>
      </c>
      <c r="P3" s="6" t="s">
        <v>7</v>
      </c>
      <c r="R3" s="33">
        <v>0.56999999999999995</v>
      </c>
    </row>
    <row r="4" spans="2:20" ht="19" x14ac:dyDescent="0.25">
      <c r="B4" s="27">
        <v>45793</v>
      </c>
      <c r="C4" s="27">
        <v>45801</v>
      </c>
      <c r="D4" s="1" t="s">
        <v>73</v>
      </c>
      <c r="E4" s="3" t="s">
        <v>395</v>
      </c>
      <c r="F4" s="1">
        <v>29714</v>
      </c>
      <c r="G4" s="1">
        <v>18021</v>
      </c>
      <c r="H4" s="93"/>
      <c r="I4" s="94"/>
      <c r="J4" s="94"/>
      <c r="K4" s="108"/>
      <c r="L4" s="3">
        <f>C4-B4</f>
        <v>8</v>
      </c>
      <c r="N4" s="3" t="s">
        <v>46</v>
      </c>
      <c r="O4" s="3">
        <v>1478</v>
      </c>
      <c r="P4" s="3"/>
    </row>
    <row r="5" spans="2:20" ht="19" x14ac:dyDescent="0.25">
      <c r="B5" s="27">
        <v>45801</v>
      </c>
      <c r="C5" s="27">
        <v>45804</v>
      </c>
      <c r="D5" s="1" t="s">
        <v>75</v>
      </c>
      <c r="E5" s="3" t="s">
        <v>396</v>
      </c>
      <c r="F5" s="1">
        <v>10060</v>
      </c>
      <c r="G5" s="1">
        <v>6461</v>
      </c>
      <c r="H5" s="93"/>
      <c r="I5" s="94"/>
      <c r="J5" s="94"/>
      <c r="K5" s="108"/>
      <c r="L5" s="3">
        <f>C5-B5</f>
        <v>3</v>
      </c>
      <c r="N5" s="3" t="s">
        <v>48</v>
      </c>
      <c r="O5" s="3">
        <v>450</v>
      </c>
      <c r="P5" s="3"/>
    </row>
    <row r="6" spans="2:20" ht="19" x14ac:dyDescent="0.25">
      <c r="B6" s="27">
        <v>45804</v>
      </c>
      <c r="C6" s="27">
        <v>45805</v>
      </c>
      <c r="D6" s="1" t="s">
        <v>86</v>
      </c>
      <c r="E6" s="3" t="s">
        <v>397</v>
      </c>
      <c r="F6" s="1">
        <v>2970</v>
      </c>
      <c r="G6" s="1">
        <v>1798</v>
      </c>
      <c r="H6" s="93"/>
      <c r="I6" s="94"/>
      <c r="J6" s="94"/>
      <c r="K6" s="108"/>
      <c r="L6" s="3">
        <f>C6-B6</f>
        <v>1</v>
      </c>
      <c r="N6" s="3" t="s">
        <v>49</v>
      </c>
      <c r="O6" s="3">
        <v>1600</v>
      </c>
      <c r="P6" s="3"/>
    </row>
    <row r="7" spans="2:20" ht="19" x14ac:dyDescent="0.25">
      <c r="B7" s="27">
        <v>45805</v>
      </c>
      <c r="C7" s="27">
        <v>45807</v>
      </c>
      <c r="D7" s="1" t="s">
        <v>91</v>
      </c>
      <c r="E7" s="3" t="s">
        <v>398</v>
      </c>
      <c r="F7" s="1">
        <v>6300</v>
      </c>
      <c r="G7" s="1">
        <v>3821</v>
      </c>
      <c r="H7" s="93"/>
      <c r="I7" s="94"/>
      <c r="J7" s="94"/>
      <c r="K7" s="108"/>
      <c r="L7" s="3">
        <f>C7-B7</f>
        <v>2</v>
      </c>
      <c r="N7" s="3" t="s">
        <v>37</v>
      </c>
      <c r="O7" s="5">
        <f>SUM(O4:O6)</f>
        <v>3528</v>
      </c>
      <c r="P7" s="3"/>
    </row>
    <row r="8" spans="2:20" ht="19" x14ac:dyDescent="0.25">
      <c r="B8" s="27">
        <v>45807</v>
      </c>
      <c r="C8" s="27">
        <v>45810</v>
      </c>
      <c r="D8" s="1" t="s">
        <v>74</v>
      </c>
      <c r="E8" s="3" t="s">
        <v>399</v>
      </c>
      <c r="F8" s="1">
        <v>10132</v>
      </c>
      <c r="G8" s="1">
        <v>6012</v>
      </c>
      <c r="H8" s="93"/>
      <c r="I8" s="94"/>
      <c r="J8" s="94"/>
      <c r="K8" s="108"/>
      <c r="L8" s="3">
        <f>C8-B8</f>
        <v>3</v>
      </c>
      <c r="N8" s="89"/>
      <c r="O8" s="89"/>
      <c r="P8" s="89"/>
    </row>
    <row r="9" spans="2:20" ht="19" x14ac:dyDescent="0.25">
      <c r="B9" s="2"/>
      <c r="C9" s="2"/>
      <c r="D9" s="3"/>
      <c r="E9" s="3"/>
      <c r="F9" s="1">
        <f>SUM(F4:F8)</f>
        <v>59176</v>
      </c>
      <c r="G9" s="35">
        <f>SUM(G4:G8)</f>
        <v>36113</v>
      </c>
      <c r="H9" s="113"/>
      <c r="I9" s="114"/>
      <c r="J9" s="114"/>
      <c r="K9" s="115"/>
      <c r="L9" s="3">
        <f>SUM(L4:L8)</f>
        <v>17</v>
      </c>
      <c r="N9" s="90"/>
      <c r="O9" s="90"/>
      <c r="P9" s="90"/>
    </row>
    <row r="10" spans="2:20" ht="19" x14ac:dyDescent="0.25"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N10" s="81" t="s">
        <v>69</v>
      </c>
      <c r="O10" s="82"/>
      <c r="P10" s="82"/>
      <c r="Q10" s="82"/>
      <c r="R10" s="83"/>
      <c r="T10">
        <v>204.66</v>
      </c>
    </row>
    <row r="11" spans="2:20" ht="19" x14ac:dyDescent="0.25"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N11" s="6" t="s">
        <v>45</v>
      </c>
      <c r="O11" s="6" t="s">
        <v>232</v>
      </c>
      <c r="P11" s="6" t="s">
        <v>53</v>
      </c>
      <c r="Q11" s="77" t="s">
        <v>7</v>
      </c>
      <c r="R11" s="78"/>
      <c r="T11">
        <v>295.75</v>
      </c>
    </row>
    <row r="12" spans="2:20" ht="19" x14ac:dyDescent="0.25">
      <c r="B12" s="110" t="s">
        <v>68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2"/>
      <c r="N12" s="3" t="s">
        <v>77</v>
      </c>
      <c r="O12" s="36">
        <v>2488</v>
      </c>
      <c r="P12" s="4">
        <v>1462</v>
      </c>
      <c r="Q12" s="84"/>
      <c r="R12" s="85"/>
      <c r="T12">
        <v>399.85</v>
      </c>
    </row>
    <row r="13" spans="2:20" ht="19" x14ac:dyDescent="0.25">
      <c r="B13" s="6" t="s">
        <v>20</v>
      </c>
      <c r="C13" s="6" t="s">
        <v>197</v>
      </c>
      <c r="D13" s="6" t="s">
        <v>22</v>
      </c>
      <c r="E13" s="6" t="s">
        <v>2</v>
      </c>
      <c r="F13" s="6" t="s">
        <v>21</v>
      </c>
      <c r="G13" s="6" t="s">
        <v>232</v>
      </c>
      <c r="H13" s="6" t="s">
        <v>53</v>
      </c>
      <c r="I13" s="77" t="s">
        <v>7</v>
      </c>
      <c r="J13" s="88"/>
      <c r="K13" s="88"/>
      <c r="L13" s="78"/>
      <c r="N13" s="3" t="s">
        <v>288</v>
      </c>
      <c r="O13" s="36">
        <v>1640</v>
      </c>
      <c r="P13" s="4">
        <v>974</v>
      </c>
      <c r="Q13" s="84"/>
      <c r="R13" s="85"/>
      <c r="T13">
        <v>851.75</v>
      </c>
    </row>
    <row r="14" spans="2:20" ht="19" x14ac:dyDescent="0.25">
      <c r="B14" s="27"/>
      <c r="C14" s="1"/>
      <c r="D14" s="1"/>
      <c r="E14" s="1"/>
      <c r="F14" s="1"/>
      <c r="G14" s="1"/>
      <c r="H14" s="1"/>
      <c r="I14" s="74"/>
      <c r="J14" s="74"/>
      <c r="K14" s="74"/>
      <c r="L14" s="74"/>
      <c r="N14" s="3" t="s">
        <v>278</v>
      </c>
      <c r="O14" s="36">
        <v>3000</v>
      </c>
      <c r="P14" s="4">
        <v>1781</v>
      </c>
      <c r="Q14" s="84"/>
      <c r="R14" s="85"/>
      <c r="T14">
        <v>1182.99</v>
      </c>
    </row>
    <row r="15" spans="2:20" ht="19" x14ac:dyDescent="0.25">
      <c r="B15" s="27">
        <v>45794</v>
      </c>
      <c r="C15" s="1" t="s">
        <v>203</v>
      </c>
      <c r="D15" s="1" t="s">
        <v>249</v>
      </c>
      <c r="E15" s="1" t="s">
        <v>85</v>
      </c>
      <c r="F15" s="1" t="s">
        <v>73</v>
      </c>
      <c r="G15" s="35">
        <v>1000</v>
      </c>
      <c r="H15" s="1">
        <v>602.32000000000005</v>
      </c>
      <c r="I15" s="74"/>
      <c r="J15" s="74"/>
      <c r="K15" s="74"/>
      <c r="L15" s="74"/>
      <c r="N15" s="3" t="s">
        <v>290</v>
      </c>
      <c r="O15" s="36">
        <v>3000</v>
      </c>
      <c r="P15" s="4">
        <v>1761</v>
      </c>
      <c r="Q15" s="84"/>
      <c r="R15" s="85"/>
      <c r="T15">
        <v>556.01</v>
      </c>
    </row>
    <row r="16" spans="2:20" ht="19" x14ac:dyDescent="0.25">
      <c r="B16" s="27">
        <v>45795</v>
      </c>
      <c r="C16" s="1" t="s">
        <v>210</v>
      </c>
      <c r="D16" s="1" t="s">
        <v>243</v>
      </c>
      <c r="E16" s="1" t="s">
        <v>80</v>
      </c>
      <c r="F16" s="1" t="s">
        <v>79</v>
      </c>
      <c r="G16" s="1">
        <v>400</v>
      </c>
      <c r="H16" s="1"/>
      <c r="I16" s="79"/>
      <c r="J16" s="109"/>
      <c r="K16" s="109"/>
      <c r="L16" s="80"/>
      <c r="N16" s="3" t="s">
        <v>304</v>
      </c>
      <c r="O16" s="36">
        <v>17000</v>
      </c>
      <c r="P16" s="4">
        <v>10088</v>
      </c>
      <c r="Q16" s="84"/>
      <c r="R16" s="85"/>
      <c r="T16">
        <v>296.06</v>
      </c>
    </row>
    <row r="17" spans="2:20" ht="19" x14ac:dyDescent="0.25">
      <c r="B17" s="27">
        <v>45795</v>
      </c>
      <c r="C17" s="1" t="s">
        <v>210</v>
      </c>
      <c r="D17" s="1" t="s">
        <v>243</v>
      </c>
      <c r="E17" s="1" t="s">
        <v>242</v>
      </c>
      <c r="F17" s="1" t="s">
        <v>79</v>
      </c>
      <c r="G17" s="1">
        <v>300</v>
      </c>
      <c r="H17" s="1"/>
      <c r="I17" s="79"/>
      <c r="J17" s="109"/>
      <c r="K17" s="109"/>
      <c r="L17" s="80"/>
      <c r="N17" s="3" t="s">
        <v>402</v>
      </c>
      <c r="O17" s="4"/>
      <c r="P17" s="4">
        <v>29477</v>
      </c>
      <c r="Q17" s="84"/>
      <c r="R17" s="85"/>
      <c r="T17">
        <v>355.27</v>
      </c>
    </row>
    <row r="18" spans="2:20" ht="19" x14ac:dyDescent="0.25">
      <c r="B18" s="31">
        <v>45795</v>
      </c>
      <c r="C18" s="32" t="s">
        <v>210</v>
      </c>
      <c r="D18" s="1"/>
      <c r="E18" s="1" t="s">
        <v>324</v>
      </c>
      <c r="F18" s="1" t="s">
        <v>325</v>
      </c>
      <c r="G18" s="35">
        <v>1100</v>
      </c>
      <c r="H18" s="1">
        <v>653.15</v>
      </c>
      <c r="I18" s="79"/>
      <c r="J18" s="109"/>
      <c r="K18" s="109"/>
      <c r="L18" s="80"/>
      <c r="N18" s="3"/>
      <c r="O18" s="4">
        <f>SUM(O12:O17)</f>
        <v>27128</v>
      </c>
      <c r="P18" s="5">
        <f>SUM(P12:P17)</f>
        <v>45543</v>
      </c>
      <c r="Q18" s="74"/>
      <c r="R18" s="74"/>
      <c r="T18">
        <v>1014.4</v>
      </c>
    </row>
    <row r="19" spans="2:20" x14ac:dyDescent="0.2">
      <c r="B19" s="27">
        <v>45796</v>
      </c>
      <c r="C19" s="1" t="s">
        <v>220</v>
      </c>
      <c r="D19" s="1" t="s">
        <v>282</v>
      </c>
      <c r="E19" s="1" t="s">
        <v>321</v>
      </c>
      <c r="F19" s="1" t="s">
        <v>322</v>
      </c>
      <c r="G19" s="1">
        <v>400</v>
      </c>
      <c r="H19" s="1"/>
      <c r="I19" s="79"/>
      <c r="J19" s="109"/>
      <c r="K19" s="109"/>
      <c r="L19" s="80"/>
      <c r="N19" s="89"/>
      <c r="O19" s="89"/>
      <c r="P19" s="89"/>
      <c r="Q19" s="89"/>
      <c r="R19" s="89"/>
      <c r="T19">
        <v>83.84</v>
      </c>
    </row>
    <row r="20" spans="2:20" x14ac:dyDescent="0.2">
      <c r="B20" s="27">
        <v>45796</v>
      </c>
      <c r="C20" s="1" t="s">
        <v>220</v>
      </c>
      <c r="D20" s="1" t="s">
        <v>282</v>
      </c>
      <c r="E20" s="1" t="s">
        <v>323</v>
      </c>
      <c r="F20" s="1" t="s">
        <v>322</v>
      </c>
      <c r="G20" s="1">
        <v>300</v>
      </c>
      <c r="H20" s="1"/>
      <c r="I20" s="79"/>
      <c r="J20" s="109"/>
      <c r="K20" s="109"/>
      <c r="L20" s="80"/>
      <c r="N20" s="90"/>
      <c r="O20" s="90"/>
      <c r="P20" s="90"/>
      <c r="Q20" s="90"/>
      <c r="R20" s="90"/>
      <c r="T20">
        <v>1177.33</v>
      </c>
    </row>
    <row r="21" spans="2:20" ht="19" x14ac:dyDescent="0.25">
      <c r="B21" s="27">
        <v>45796</v>
      </c>
      <c r="C21" s="1" t="s">
        <v>220</v>
      </c>
      <c r="D21" s="1" t="s">
        <v>282</v>
      </c>
      <c r="E21" s="1" t="s">
        <v>320</v>
      </c>
      <c r="F21" s="1" t="s">
        <v>322</v>
      </c>
      <c r="G21" s="35">
        <v>1600</v>
      </c>
      <c r="H21" s="1">
        <v>914.32</v>
      </c>
      <c r="I21" s="79"/>
      <c r="J21" s="109"/>
      <c r="K21" s="109"/>
      <c r="L21" s="80"/>
      <c r="N21" s="97" t="s">
        <v>38</v>
      </c>
      <c r="O21" s="97"/>
      <c r="P21" s="97"/>
      <c r="Q21" s="97"/>
      <c r="R21" s="97"/>
      <c r="T21">
        <v>630.53</v>
      </c>
    </row>
    <row r="22" spans="2:20" ht="19" x14ac:dyDescent="0.25">
      <c r="B22" s="27">
        <v>45797</v>
      </c>
      <c r="C22" s="1" t="s">
        <v>209</v>
      </c>
      <c r="D22" s="1" t="s">
        <v>235</v>
      </c>
      <c r="E22" s="1" t="s">
        <v>236</v>
      </c>
      <c r="F22" s="1" t="s">
        <v>73</v>
      </c>
      <c r="G22" s="1">
        <v>0</v>
      </c>
      <c r="H22" s="1"/>
      <c r="I22" s="74"/>
      <c r="J22" s="74"/>
      <c r="K22" s="74"/>
      <c r="L22" s="74"/>
      <c r="N22" s="6" t="s">
        <v>20</v>
      </c>
      <c r="O22" s="6" t="s">
        <v>32</v>
      </c>
      <c r="P22" s="6" t="s">
        <v>4</v>
      </c>
      <c r="Q22" s="92" t="s">
        <v>7</v>
      </c>
      <c r="R22" s="92"/>
      <c r="T22">
        <v>254.84</v>
      </c>
    </row>
    <row r="23" spans="2:20" ht="19" x14ac:dyDescent="0.25">
      <c r="B23" s="27">
        <v>45797</v>
      </c>
      <c r="C23" s="1" t="s">
        <v>209</v>
      </c>
      <c r="D23" s="1" t="s">
        <v>204</v>
      </c>
      <c r="E23" s="1" t="s">
        <v>87</v>
      </c>
      <c r="F23" s="1" t="s">
        <v>73</v>
      </c>
      <c r="G23" s="1">
        <v>500</v>
      </c>
      <c r="H23" s="1"/>
      <c r="I23" s="74"/>
      <c r="J23" s="74"/>
      <c r="K23" s="74"/>
      <c r="L23" s="74"/>
      <c r="N23" s="2"/>
      <c r="O23" s="3" t="s">
        <v>88</v>
      </c>
      <c r="P23" s="3">
        <v>23763</v>
      </c>
      <c r="Q23" s="75"/>
      <c r="R23" s="75"/>
      <c r="T23">
        <v>1615.21</v>
      </c>
    </row>
    <row r="24" spans="2:20" ht="19" x14ac:dyDescent="0.25">
      <c r="B24" s="27">
        <v>45797</v>
      </c>
      <c r="C24" s="1" t="s">
        <v>209</v>
      </c>
      <c r="D24" s="1" t="s">
        <v>287</v>
      </c>
      <c r="E24" s="1" t="s">
        <v>237</v>
      </c>
      <c r="F24" s="1" t="s">
        <v>73</v>
      </c>
      <c r="G24" s="1">
        <v>0</v>
      </c>
      <c r="H24" s="1"/>
      <c r="I24" s="74" t="s">
        <v>238</v>
      </c>
      <c r="J24" s="74"/>
      <c r="K24" s="74"/>
      <c r="L24" s="74"/>
      <c r="N24" s="2"/>
      <c r="O24" s="3" t="s">
        <v>89</v>
      </c>
      <c r="P24" s="3">
        <v>23763</v>
      </c>
      <c r="Q24" s="75"/>
      <c r="R24" s="75"/>
      <c r="T24">
        <v>192.43</v>
      </c>
    </row>
    <row r="25" spans="2:20" ht="19" x14ac:dyDescent="0.25">
      <c r="B25" s="27">
        <v>45797</v>
      </c>
      <c r="C25" s="1" t="s">
        <v>209</v>
      </c>
      <c r="D25" s="1" t="s">
        <v>286</v>
      </c>
      <c r="E25" s="1" t="s">
        <v>78</v>
      </c>
      <c r="F25" s="1" t="s">
        <v>73</v>
      </c>
      <c r="G25" s="35">
        <v>3400</v>
      </c>
      <c r="H25" s="1">
        <v>2000.76</v>
      </c>
      <c r="I25" s="79"/>
      <c r="J25" s="109"/>
      <c r="K25" s="109"/>
      <c r="L25" s="80"/>
      <c r="N25" s="3"/>
      <c r="O25" s="3"/>
      <c r="P25" s="5">
        <f>SUM(P23:P24)</f>
        <v>47526</v>
      </c>
      <c r="Q25" s="75"/>
      <c r="R25" s="75"/>
      <c r="T25">
        <v>301.61</v>
      </c>
    </row>
    <row r="26" spans="2:20" x14ac:dyDescent="0.2">
      <c r="B26" s="27">
        <v>45798</v>
      </c>
      <c r="C26" s="1" t="s">
        <v>198</v>
      </c>
      <c r="D26" s="1" t="s">
        <v>240</v>
      </c>
      <c r="E26" s="1" t="s">
        <v>241</v>
      </c>
      <c r="F26" s="1" t="s">
        <v>73</v>
      </c>
      <c r="G26" s="35">
        <v>4800</v>
      </c>
      <c r="H26" s="1">
        <v>2848.38</v>
      </c>
      <c r="I26" s="74"/>
      <c r="J26" s="74"/>
      <c r="K26" s="74"/>
      <c r="L26" s="74"/>
      <c r="N26" s="16"/>
      <c r="O26" s="16"/>
      <c r="P26" s="16"/>
      <c r="Q26" s="16"/>
      <c r="R26" s="16"/>
      <c r="T26">
        <v>494.64</v>
      </c>
    </row>
    <row r="27" spans="2:20" x14ac:dyDescent="0.2">
      <c r="B27" s="27">
        <v>45799</v>
      </c>
      <c r="C27" s="1" t="s">
        <v>210</v>
      </c>
      <c r="D27" s="1" t="s">
        <v>233</v>
      </c>
      <c r="E27" s="1" t="s">
        <v>239</v>
      </c>
      <c r="F27" s="1" t="s">
        <v>73</v>
      </c>
      <c r="G27" s="35">
        <v>4800</v>
      </c>
      <c r="H27" s="1">
        <v>2848.38</v>
      </c>
      <c r="I27" s="74"/>
      <c r="J27" s="74"/>
      <c r="K27" s="74"/>
      <c r="L27" s="74"/>
      <c r="N27" s="37"/>
      <c r="O27" s="37"/>
      <c r="P27" s="37"/>
      <c r="Q27" s="37"/>
      <c r="T27">
        <v>558.58000000000004</v>
      </c>
    </row>
    <row r="28" spans="2:20" ht="19" x14ac:dyDescent="0.25">
      <c r="B28" s="27">
        <v>45800</v>
      </c>
      <c r="C28" s="1" t="s">
        <v>203</v>
      </c>
      <c r="D28" s="1" t="s">
        <v>244</v>
      </c>
      <c r="E28" s="1" t="s">
        <v>246</v>
      </c>
      <c r="F28" s="1" t="s">
        <v>73</v>
      </c>
      <c r="G28" s="1">
        <v>500</v>
      </c>
      <c r="H28" s="1"/>
      <c r="I28" s="74" t="s">
        <v>245</v>
      </c>
      <c r="J28" s="74"/>
      <c r="K28" s="74"/>
      <c r="L28" s="74"/>
      <c r="N28" s="97" t="s">
        <v>55</v>
      </c>
      <c r="O28" s="97"/>
      <c r="P28" s="97"/>
      <c r="Q28" s="97"/>
      <c r="R28" s="97"/>
      <c r="T28">
        <v>289.55</v>
      </c>
    </row>
    <row r="29" spans="2:20" ht="19" x14ac:dyDescent="0.25">
      <c r="B29" s="27">
        <v>45800</v>
      </c>
      <c r="C29" s="1" t="s">
        <v>203</v>
      </c>
      <c r="D29" s="1"/>
      <c r="E29" s="1" t="s">
        <v>327</v>
      </c>
      <c r="F29" s="1" t="s">
        <v>303</v>
      </c>
      <c r="G29" s="35">
        <v>900</v>
      </c>
      <c r="H29" s="1">
        <v>542</v>
      </c>
      <c r="I29" s="74"/>
      <c r="J29" s="74"/>
      <c r="K29" s="74"/>
      <c r="L29" s="74"/>
      <c r="N29" s="6" t="s">
        <v>231</v>
      </c>
      <c r="O29" s="6" t="s">
        <v>76</v>
      </c>
      <c r="P29" s="6" t="s">
        <v>56</v>
      </c>
      <c r="Q29" s="6" t="s">
        <v>37</v>
      </c>
      <c r="R29" s="6" t="s">
        <v>400</v>
      </c>
      <c r="T29">
        <v>362.54</v>
      </c>
    </row>
    <row r="30" spans="2:20" ht="19" x14ac:dyDescent="0.25">
      <c r="B30" s="27">
        <v>45801</v>
      </c>
      <c r="C30" s="1" t="s">
        <v>208</v>
      </c>
      <c r="D30" s="1" t="s">
        <v>251</v>
      </c>
      <c r="E30" s="1" t="s">
        <v>252</v>
      </c>
      <c r="F30" s="1" t="s">
        <v>75</v>
      </c>
      <c r="G30" s="1">
        <v>500</v>
      </c>
      <c r="H30" s="1"/>
      <c r="I30" s="74"/>
      <c r="J30" s="74"/>
      <c r="K30" s="74"/>
      <c r="L30" s="74"/>
      <c r="N30" s="3">
        <v>600</v>
      </c>
      <c r="O30" s="3">
        <v>86771</v>
      </c>
      <c r="P30" s="3">
        <v>86.07</v>
      </c>
      <c r="Q30" s="5">
        <v>51642</v>
      </c>
      <c r="R30" s="5">
        <v>34428</v>
      </c>
      <c r="T30">
        <v>785.51</v>
      </c>
    </row>
    <row r="31" spans="2:20" x14ac:dyDescent="0.2">
      <c r="B31" s="27">
        <v>45801</v>
      </c>
      <c r="C31" s="1" t="s">
        <v>208</v>
      </c>
      <c r="D31" s="1" t="s">
        <v>253</v>
      </c>
      <c r="E31" s="1" t="s">
        <v>254</v>
      </c>
      <c r="F31" s="1" t="s">
        <v>75</v>
      </c>
      <c r="G31" s="1">
        <v>500</v>
      </c>
      <c r="H31" s="1"/>
      <c r="I31" s="74"/>
      <c r="J31" s="74"/>
      <c r="K31" s="74"/>
      <c r="L31" s="74"/>
      <c r="T31">
        <v>507.56</v>
      </c>
    </row>
    <row r="32" spans="2:20" x14ac:dyDescent="0.2">
      <c r="B32" s="27">
        <v>45802</v>
      </c>
      <c r="C32" s="1" t="s">
        <v>209</v>
      </c>
      <c r="D32" s="1" t="s">
        <v>251</v>
      </c>
      <c r="E32" s="1" t="s">
        <v>255</v>
      </c>
      <c r="F32" s="1" t="s">
        <v>75</v>
      </c>
      <c r="G32" s="1">
        <v>800</v>
      </c>
      <c r="H32" s="1"/>
      <c r="I32" s="74"/>
      <c r="J32" s="74"/>
      <c r="K32" s="74"/>
      <c r="L32" s="74"/>
      <c r="T32">
        <v>302.12</v>
      </c>
    </row>
    <row r="33" spans="2:20" ht="19" x14ac:dyDescent="0.25">
      <c r="B33" s="27">
        <v>45802</v>
      </c>
      <c r="C33" s="1" t="s">
        <v>209</v>
      </c>
      <c r="D33" s="1" t="s">
        <v>257</v>
      </c>
      <c r="E33" s="1" t="s">
        <v>256</v>
      </c>
      <c r="F33" s="1" t="s">
        <v>75</v>
      </c>
      <c r="G33" s="1">
        <v>500</v>
      </c>
      <c r="H33" s="1"/>
      <c r="I33" s="74"/>
      <c r="J33" s="74"/>
      <c r="K33" s="74"/>
      <c r="L33" s="74"/>
      <c r="N33" s="81" t="s">
        <v>57</v>
      </c>
      <c r="O33" s="83"/>
      <c r="T33">
        <v>785.51</v>
      </c>
    </row>
    <row r="34" spans="2:20" ht="19" x14ac:dyDescent="0.25">
      <c r="B34" s="27">
        <v>45802</v>
      </c>
      <c r="C34" s="1" t="s">
        <v>209</v>
      </c>
      <c r="D34" s="1"/>
      <c r="E34" s="1" t="s">
        <v>391</v>
      </c>
      <c r="F34" s="1" t="s">
        <v>75</v>
      </c>
      <c r="G34" s="1">
        <v>800</v>
      </c>
      <c r="H34" s="1"/>
      <c r="I34" s="79"/>
      <c r="J34" s="109"/>
      <c r="K34" s="109"/>
      <c r="L34" s="80"/>
      <c r="N34" s="6" t="s">
        <v>63</v>
      </c>
      <c r="O34" s="6" t="s">
        <v>53</v>
      </c>
      <c r="T34">
        <v>1027.2</v>
      </c>
    </row>
    <row r="35" spans="2:20" ht="19" x14ac:dyDescent="0.25">
      <c r="B35" s="27">
        <v>45802</v>
      </c>
      <c r="C35" s="1" t="s">
        <v>209</v>
      </c>
      <c r="D35" s="1"/>
      <c r="E35" s="1" t="s">
        <v>392</v>
      </c>
      <c r="F35" s="1" t="s">
        <v>75</v>
      </c>
      <c r="G35">
        <v>1300</v>
      </c>
      <c r="H35" s="1"/>
      <c r="I35" s="79"/>
      <c r="J35" s="109"/>
      <c r="K35" s="109"/>
      <c r="L35" s="80"/>
      <c r="N35" s="5">
        <f>G9+O7+P18+P25+H57+R30+H112</f>
        <v>187497.72</v>
      </c>
      <c r="O35" s="5">
        <f>G9+O7+P18+P25+H57+H112+R30</f>
        <v>187497.72</v>
      </c>
      <c r="T35">
        <v>404.24</v>
      </c>
    </row>
    <row r="36" spans="2:20" x14ac:dyDescent="0.2">
      <c r="B36" s="27">
        <v>45803</v>
      </c>
      <c r="C36" s="1" t="s">
        <v>220</v>
      </c>
      <c r="D36" s="1" t="s">
        <v>259</v>
      </c>
      <c r="E36" s="1" t="s">
        <v>260</v>
      </c>
      <c r="F36" s="1" t="s">
        <v>75</v>
      </c>
      <c r="G36" s="1">
        <v>0</v>
      </c>
      <c r="H36" s="1"/>
      <c r="I36" s="74"/>
      <c r="J36" s="74"/>
      <c r="K36" s="74"/>
      <c r="L36" s="74"/>
      <c r="T36">
        <v>259.82</v>
      </c>
    </row>
    <row r="37" spans="2:20" x14ac:dyDescent="0.2">
      <c r="B37" s="27">
        <v>45803</v>
      </c>
      <c r="C37" s="1" t="s">
        <v>220</v>
      </c>
      <c r="D37" s="1" t="s">
        <v>258</v>
      </c>
      <c r="E37" s="1" t="s">
        <v>261</v>
      </c>
      <c r="F37" s="1" t="s">
        <v>75</v>
      </c>
      <c r="G37" s="1">
        <v>500</v>
      </c>
      <c r="H37" s="1"/>
      <c r="I37" s="74"/>
      <c r="J37" s="74"/>
      <c r="K37" s="74"/>
      <c r="L37" s="74"/>
      <c r="T37">
        <v>797.59</v>
      </c>
    </row>
    <row r="38" spans="2:20" x14ac:dyDescent="0.2">
      <c r="B38" s="27">
        <v>45803</v>
      </c>
      <c r="C38" s="1" t="s">
        <v>210</v>
      </c>
      <c r="D38" s="1"/>
      <c r="E38" s="1" t="s">
        <v>326</v>
      </c>
      <c r="F38" s="1" t="s">
        <v>310</v>
      </c>
      <c r="G38" s="1">
        <v>500</v>
      </c>
      <c r="H38" s="1"/>
      <c r="I38" s="74"/>
      <c r="J38" s="74"/>
      <c r="K38" s="74"/>
      <c r="L38" s="74"/>
      <c r="T38">
        <v>1027.2</v>
      </c>
    </row>
    <row r="39" spans="2:20" x14ac:dyDescent="0.2">
      <c r="B39" s="27">
        <v>45804</v>
      </c>
      <c r="C39" s="1" t="s">
        <v>210</v>
      </c>
      <c r="D39" s="1" t="s">
        <v>270</v>
      </c>
      <c r="E39" s="1" t="s">
        <v>271</v>
      </c>
      <c r="F39" s="1" t="s">
        <v>268</v>
      </c>
      <c r="G39" s="1">
        <v>500</v>
      </c>
      <c r="H39" s="1"/>
      <c r="I39" s="74"/>
      <c r="J39" s="74"/>
      <c r="K39" s="74"/>
      <c r="L39" s="74"/>
      <c r="T39">
        <v>483.39</v>
      </c>
    </row>
    <row r="40" spans="2:20" x14ac:dyDescent="0.2">
      <c r="B40" s="27">
        <v>45804</v>
      </c>
      <c r="C40" s="1" t="s">
        <v>210</v>
      </c>
      <c r="D40" s="1" t="s">
        <v>266</v>
      </c>
      <c r="E40" s="1" t="s">
        <v>267</v>
      </c>
      <c r="F40" s="1" t="s">
        <v>268</v>
      </c>
      <c r="G40" s="1">
        <v>700</v>
      </c>
      <c r="H40" s="1"/>
      <c r="I40" s="74" t="s">
        <v>269</v>
      </c>
      <c r="J40" s="74"/>
      <c r="K40" s="74"/>
      <c r="L40" s="74"/>
      <c r="T40">
        <v>71.3</v>
      </c>
    </row>
    <row r="41" spans="2:20" x14ac:dyDescent="0.2">
      <c r="B41" s="27">
        <v>45805</v>
      </c>
      <c r="C41" s="1" t="s">
        <v>198</v>
      </c>
      <c r="D41" s="1" t="s">
        <v>258</v>
      </c>
      <c r="E41" s="1" t="s">
        <v>84</v>
      </c>
      <c r="F41" s="1" t="s">
        <v>83</v>
      </c>
      <c r="G41" s="35">
        <v>1050</v>
      </c>
      <c r="H41" s="1">
        <v>623.46</v>
      </c>
      <c r="I41" s="74" t="s">
        <v>289</v>
      </c>
      <c r="J41" s="74"/>
      <c r="K41" s="74"/>
      <c r="L41" s="74"/>
      <c r="T41">
        <v>744.74</v>
      </c>
    </row>
    <row r="42" spans="2:20" x14ac:dyDescent="0.2">
      <c r="B42" s="27">
        <v>45805</v>
      </c>
      <c r="C42" s="1" t="s">
        <v>198</v>
      </c>
      <c r="D42" s="1"/>
      <c r="E42" s="1" t="s">
        <v>328</v>
      </c>
      <c r="F42" s="1" t="s">
        <v>86</v>
      </c>
      <c r="G42" s="1">
        <v>1700</v>
      </c>
      <c r="H42" s="1"/>
      <c r="I42" s="74"/>
      <c r="J42" s="74"/>
      <c r="K42" s="74"/>
      <c r="L42" s="74"/>
      <c r="T42">
        <v>472.77</v>
      </c>
    </row>
    <row r="43" spans="2:20" x14ac:dyDescent="0.2">
      <c r="B43" s="27">
        <v>45806</v>
      </c>
      <c r="C43" s="1" t="s">
        <v>199</v>
      </c>
      <c r="D43" s="1" t="s">
        <v>330</v>
      </c>
      <c r="E43" s="1" t="s">
        <v>329</v>
      </c>
      <c r="F43" s="1" t="s">
        <v>92</v>
      </c>
      <c r="G43" s="1">
        <v>0</v>
      </c>
      <c r="H43" s="1"/>
      <c r="I43" s="74"/>
      <c r="J43" s="74"/>
      <c r="K43" s="74"/>
      <c r="L43" s="74"/>
      <c r="T43">
        <v>1192.3599999999999</v>
      </c>
    </row>
    <row r="44" spans="2:20" x14ac:dyDescent="0.2">
      <c r="B44" s="27">
        <v>45806</v>
      </c>
      <c r="C44" s="1" t="s">
        <v>199</v>
      </c>
      <c r="D44" s="1" t="s">
        <v>279</v>
      </c>
      <c r="E44" s="1" t="s">
        <v>280</v>
      </c>
      <c r="F44" s="1" t="s">
        <v>92</v>
      </c>
      <c r="G44" s="1">
        <v>500</v>
      </c>
      <c r="H44" s="1"/>
      <c r="I44" s="74" t="s">
        <v>281</v>
      </c>
      <c r="J44" s="74"/>
      <c r="K44" s="74"/>
      <c r="L44" s="74"/>
      <c r="T44">
        <v>327.9</v>
      </c>
    </row>
    <row r="45" spans="2:20" x14ac:dyDescent="0.2">
      <c r="B45" s="27">
        <v>45806</v>
      </c>
      <c r="C45" s="1" t="s">
        <v>199</v>
      </c>
      <c r="D45" s="1" t="s">
        <v>205</v>
      </c>
      <c r="E45" s="1" t="s">
        <v>283</v>
      </c>
      <c r="F45" s="1" t="s">
        <v>92</v>
      </c>
      <c r="G45" s="1">
        <v>2000</v>
      </c>
      <c r="H45" s="1"/>
      <c r="I45" s="74" t="s">
        <v>284</v>
      </c>
      <c r="J45" s="74"/>
      <c r="K45" s="74"/>
      <c r="L45" s="74"/>
      <c r="T45">
        <v>1475.55</v>
      </c>
    </row>
    <row r="46" spans="2:20" x14ac:dyDescent="0.2">
      <c r="B46" s="27">
        <v>45807</v>
      </c>
      <c r="C46" s="1" t="s">
        <v>203</v>
      </c>
      <c r="D46" s="1" t="s">
        <v>285</v>
      </c>
      <c r="E46" s="1" t="s">
        <v>93</v>
      </c>
      <c r="F46" s="1" t="s">
        <v>91</v>
      </c>
      <c r="G46" s="35">
        <v>200</v>
      </c>
      <c r="H46" s="1">
        <v>117.69</v>
      </c>
      <c r="I46" s="74"/>
      <c r="J46" s="74"/>
      <c r="K46" s="74"/>
      <c r="L46" s="74"/>
      <c r="T46">
        <v>807.23</v>
      </c>
    </row>
    <row r="47" spans="2:20" x14ac:dyDescent="0.2">
      <c r="B47" s="27">
        <v>45808</v>
      </c>
      <c r="C47" s="1" t="s">
        <v>208</v>
      </c>
      <c r="D47" s="1" t="s">
        <v>262</v>
      </c>
      <c r="E47" s="1" t="s">
        <v>263</v>
      </c>
      <c r="F47" s="1" t="s">
        <v>81</v>
      </c>
      <c r="G47" s="1">
        <v>800</v>
      </c>
      <c r="H47" s="1"/>
      <c r="I47" s="74"/>
      <c r="J47" s="74"/>
      <c r="K47" s="74"/>
      <c r="L47" s="74"/>
      <c r="T47">
        <v>821.53</v>
      </c>
    </row>
    <row r="48" spans="2:20" x14ac:dyDescent="0.2">
      <c r="B48" s="27">
        <v>45808</v>
      </c>
      <c r="C48" s="1" t="s">
        <v>208</v>
      </c>
      <c r="D48" s="1" t="s">
        <v>264</v>
      </c>
      <c r="E48" s="1" t="s">
        <v>265</v>
      </c>
      <c r="F48" s="1" t="s">
        <v>81</v>
      </c>
      <c r="G48" s="1">
        <v>700</v>
      </c>
      <c r="H48" s="1"/>
      <c r="I48" s="74"/>
      <c r="J48" s="74"/>
      <c r="K48" s="74"/>
      <c r="L48" s="74"/>
      <c r="T48">
        <v>537.64</v>
      </c>
    </row>
    <row r="49" spans="2:21" x14ac:dyDescent="0.2">
      <c r="B49" s="27">
        <v>45808</v>
      </c>
      <c r="C49" s="1" t="s">
        <v>208</v>
      </c>
      <c r="D49" s="1" t="s">
        <v>201</v>
      </c>
      <c r="E49" s="1" t="s">
        <v>276</v>
      </c>
      <c r="F49" s="1" t="s">
        <v>74</v>
      </c>
      <c r="G49" s="1">
        <v>0</v>
      </c>
      <c r="H49" s="1"/>
      <c r="I49" s="74" t="s">
        <v>278</v>
      </c>
      <c r="J49" s="74"/>
      <c r="K49" s="74"/>
      <c r="L49" s="74"/>
      <c r="T49">
        <v>3982.12</v>
      </c>
      <c r="U49" t="s">
        <v>401</v>
      </c>
    </row>
    <row r="50" spans="2:21" x14ac:dyDescent="0.2">
      <c r="B50" s="27">
        <v>45808</v>
      </c>
      <c r="C50" s="1" t="s">
        <v>208</v>
      </c>
      <c r="D50" s="1"/>
      <c r="E50" s="1" t="s">
        <v>331</v>
      </c>
      <c r="F50" s="1" t="s">
        <v>74</v>
      </c>
      <c r="G50" s="1">
        <v>0</v>
      </c>
      <c r="H50" s="1"/>
      <c r="I50" s="74" t="s">
        <v>278</v>
      </c>
      <c r="J50" s="74"/>
      <c r="K50" s="74"/>
      <c r="L50" s="74"/>
      <c r="T50">
        <v>649.95000000000005</v>
      </c>
    </row>
    <row r="51" spans="2:21" x14ac:dyDescent="0.2">
      <c r="B51" s="27">
        <v>45808</v>
      </c>
      <c r="C51" s="1" t="s">
        <v>208</v>
      </c>
      <c r="D51" s="1" t="s">
        <v>215</v>
      </c>
      <c r="E51" s="1" t="s">
        <v>274</v>
      </c>
      <c r="F51" s="1" t="s">
        <v>74</v>
      </c>
      <c r="G51" s="1">
        <v>900</v>
      </c>
      <c r="H51" s="1"/>
      <c r="I51" s="74"/>
      <c r="J51" s="74"/>
      <c r="K51" s="74"/>
      <c r="L51" s="74"/>
      <c r="T51">
        <v>896.07</v>
      </c>
    </row>
    <row r="52" spans="2:21" x14ac:dyDescent="0.2">
      <c r="B52" s="27"/>
      <c r="C52" s="1"/>
      <c r="D52" s="1"/>
      <c r="E52" s="1"/>
      <c r="F52" s="1"/>
      <c r="G52" s="1"/>
      <c r="H52" s="1"/>
      <c r="I52" s="74"/>
      <c r="J52" s="74"/>
      <c r="K52" s="74"/>
      <c r="L52" s="74"/>
    </row>
    <row r="53" spans="2:21" x14ac:dyDescent="0.2">
      <c r="B53" s="27">
        <v>45809</v>
      </c>
      <c r="C53" s="1" t="s">
        <v>209</v>
      </c>
      <c r="D53" s="1" t="s">
        <v>272</v>
      </c>
      <c r="E53" s="1" t="s">
        <v>273</v>
      </c>
      <c r="F53" s="1" t="s">
        <v>74</v>
      </c>
      <c r="G53" s="1">
        <v>0</v>
      </c>
      <c r="H53" s="1"/>
      <c r="I53" s="74" t="s">
        <v>278</v>
      </c>
      <c r="J53" s="74"/>
      <c r="K53" s="74"/>
      <c r="L53" s="74"/>
    </row>
    <row r="54" spans="2:21" x14ac:dyDescent="0.2">
      <c r="B54" s="27">
        <v>45809</v>
      </c>
      <c r="C54" s="1" t="s">
        <v>209</v>
      </c>
      <c r="D54" s="1" t="s">
        <v>332</v>
      </c>
      <c r="E54" s="1" t="s">
        <v>333</v>
      </c>
      <c r="F54" s="1" t="s">
        <v>74</v>
      </c>
      <c r="G54" s="1">
        <v>0</v>
      </c>
      <c r="H54" s="1"/>
      <c r="I54" s="74" t="s">
        <v>278</v>
      </c>
      <c r="J54" s="74"/>
      <c r="K54" s="74"/>
      <c r="L54" s="74"/>
    </row>
    <row r="55" spans="2:21" x14ac:dyDescent="0.2">
      <c r="B55" s="27">
        <v>45809</v>
      </c>
      <c r="C55" s="1" t="s">
        <v>209</v>
      </c>
      <c r="D55" s="1" t="s">
        <v>275</v>
      </c>
      <c r="E55" s="1" t="s">
        <v>82</v>
      </c>
      <c r="F55" s="1" t="s">
        <v>74</v>
      </c>
      <c r="G55" s="1">
        <v>0</v>
      </c>
      <c r="H55" s="1"/>
      <c r="I55" s="74" t="s">
        <v>278</v>
      </c>
      <c r="J55" s="74"/>
      <c r="K55" s="74"/>
      <c r="L55" s="74"/>
    </row>
    <row r="56" spans="2:21" ht="19" x14ac:dyDescent="0.25">
      <c r="B56" s="13"/>
      <c r="C56" s="13"/>
      <c r="D56" s="1"/>
      <c r="E56" s="3"/>
      <c r="F56" s="3"/>
      <c r="G56" s="4"/>
      <c r="H56" s="4"/>
      <c r="I56" s="93"/>
      <c r="J56" s="94"/>
      <c r="K56" s="94"/>
      <c r="L56" s="108"/>
    </row>
    <row r="57" spans="2:21" ht="19" x14ac:dyDescent="0.25">
      <c r="B57" s="13"/>
      <c r="C57" s="13"/>
      <c r="D57" s="4"/>
      <c r="E57" s="3"/>
      <c r="F57" s="3"/>
      <c r="G57" s="4">
        <f>SUM(G14:G56)</f>
        <v>34450</v>
      </c>
      <c r="H57" s="5">
        <f>SUM(H14:H55)</f>
        <v>11150.460000000001</v>
      </c>
      <c r="I57" s="106"/>
      <c r="J57" s="106"/>
      <c r="K57" s="106"/>
      <c r="L57" s="106"/>
    </row>
    <row r="58" spans="2:21" x14ac:dyDescent="0.2"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</row>
    <row r="59" spans="2:21" x14ac:dyDescent="0.2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</row>
    <row r="60" spans="2:21" ht="19" x14ac:dyDescent="0.25">
      <c r="B60" s="81" t="s">
        <v>33</v>
      </c>
      <c r="C60" s="82"/>
      <c r="D60" s="82"/>
      <c r="E60" s="82"/>
      <c r="F60" s="82"/>
      <c r="G60" s="82"/>
      <c r="H60" s="82"/>
      <c r="I60" s="82"/>
      <c r="J60" s="82"/>
      <c r="K60" s="82"/>
      <c r="L60" s="82"/>
    </row>
    <row r="61" spans="2:21" ht="19" x14ac:dyDescent="0.25">
      <c r="B61" s="6" t="s">
        <v>20</v>
      </c>
      <c r="C61" s="6" t="s">
        <v>197</v>
      </c>
      <c r="D61" s="6" t="s">
        <v>65</v>
      </c>
      <c r="E61" s="6" t="s">
        <v>66</v>
      </c>
      <c r="F61" s="6" t="s">
        <v>196</v>
      </c>
      <c r="G61" s="6" t="s">
        <v>232</v>
      </c>
      <c r="H61" s="6" t="s">
        <v>53</v>
      </c>
      <c r="I61" s="6" t="s">
        <v>195</v>
      </c>
      <c r="J61" s="116" t="s">
        <v>7</v>
      </c>
      <c r="K61" s="117"/>
      <c r="L61" s="117"/>
    </row>
    <row r="62" spans="2:21" x14ac:dyDescent="0.2">
      <c r="B62" s="27">
        <v>45793</v>
      </c>
      <c r="C62" s="1" t="s">
        <v>203</v>
      </c>
      <c r="D62" s="1" t="s">
        <v>291</v>
      </c>
      <c r="E62" s="1" t="s">
        <v>234</v>
      </c>
      <c r="F62" s="1" t="s">
        <v>219</v>
      </c>
      <c r="G62" s="1">
        <v>610</v>
      </c>
      <c r="H62" s="1"/>
      <c r="I62" s="1"/>
      <c r="J62" s="74" t="s">
        <v>292</v>
      </c>
      <c r="K62" s="74"/>
      <c r="L62" s="74"/>
    </row>
    <row r="63" spans="2:21" x14ac:dyDescent="0.2">
      <c r="B63" s="27">
        <v>45794</v>
      </c>
      <c r="C63" s="1" t="s">
        <v>208</v>
      </c>
      <c r="D63" s="1" t="s">
        <v>234</v>
      </c>
      <c r="E63" s="1" t="s">
        <v>293</v>
      </c>
      <c r="F63" s="1" t="s">
        <v>294</v>
      </c>
      <c r="G63" s="1">
        <v>180</v>
      </c>
      <c r="H63" s="1"/>
      <c r="I63" s="1"/>
      <c r="J63" s="74"/>
      <c r="K63" s="74"/>
      <c r="L63" s="74"/>
    </row>
    <row r="64" spans="2:21" x14ac:dyDescent="0.2">
      <c r="B64" s="27">
        <v>45794</v>
      </c>
      <c r="C64" s="1" t="s">
        <v>208</v>
      </c>
      <c r="D64" s="1" t="s">
        <v>293</v>
      </c>
      <c r="E64" s="1" t="s">
        <v>300</v>
      </c>
      <c r="F64" s="1" t="s">
        <v>294</v>
      </c>
      <c r="G64" s="1">
        <v>180</v>
      </c>
      <c r="H64" s="1"/>
      <c r="I64" s="1"/>
      <c r="J64" s="74"/>
      <c r="K64" s="74"/>
      <c r="L64" s="74"/>
    </row>
    <row r="65" spans="2:12" x14ac:dyDescent="0.2">
      <c r="B65" s="27">
        <v>45795</v>
      </c>
      <c r="C65" s="1" t="s">
        <v>210</v>
      </c>
      <c r="D65" s="1" t="s">
        <v>234</v>
      </c>
      <c r="E65" s="1" t="s">
        <v>248</v>
      </c>
      <c r="F65" s="1" t="s">
        <v>294</v>
      </c>
      <c r="G65" s="1">
        <v>390</v>
      </c>
      <c r="H65" s="1"/>
      <c r="I65" s="1"/>
      <c r="J65" s="74"/>
      <c r="K65" s="74"/>
      <c r="L65" s="74"/>
    </row>
    <row r="66" spans="2:12" x14ac:dyDescent="0.2">
      <c r="B66" s="27">
        <v>45795</v>
      </c>
      <c r="C66" s="1" t="s">
        <v>210</v>
      </c>
      <c r="D66" s="1" t="s">
        <v>248</v>
      </c>
      <c r="E66" s="1" t="s">
        <v>234</v>
      </c>
      <c r="F66" s="1" t="s">
        <v>294</v>
      </c>
      <c r="G66" s="1">
        <v>390</v>
      </c>
      <c r="H66" s="1"/>
      <c r="I66" s="1"/>
      <c r="J66" s="74"/>
      <c r="K66" s="74"/>
      <c r="L66" s="74"/>
    </row>
    <row r="67" spans="2:12" x14ac:dyDescent="0.2">
      <c r="B67" s="27">
        <v>45796</v>
      </c>
      <c r="C67" s="1" t="s">
        <v>220</v>
      </c>
      <c r="D67" s="1" t="s">
        <v>234</v>
      </c>
      <c r="E67" s="1" t="s">
        <v>298</v>
      </c>
      <c r="F67" s="1"/>
      <c r="G67" s="35">
        <v>1650</v>
      </c>
      <c r="H67" s="1">
        <v>993.13</v>
      </c>
      <c r="I67" s="1"/>
      <c r="J67" s="74" t="s">
        <v>299</v>
      </c>
      <c r="K67" s="74"/>
      <c r="L67" s="74"/>
    </row>
    <row r="68" spans="2:12" x14ac:dyDescent="0.2">
      <c r="B68" s="27">
        <v>45796</v>
      </c>
      <c r="C68" s="1" t="s">
        <v>220</v>
      </c>
      <c r="D68" s="1" t="s">
        <v>298</v>
      </c>
      <c r="E68" s="1" t="s">
        <v>234</v>
      </c>
      <c r="F68" s="1"/>
      <c r="G68" s="35">
        <v>1650</v>
      </c>
      <c r="H68" s="1">
        <v>993.13</v>
      </c>
      <c r="I68" s="1"/>
      <c r="J68" s="74" t="s">
        <v>299</v>
      </c>
      <c r="K68" s="74"/>
      <c r="L68" s="74"/>
    </row>
    <row r="69" spans="2:12" x14ac:dyDescent="0.2">
      <c r="B69" s="27">
        <v>45797</v>
      </c>
      <c r="C69" s="1" t="s">
        <v>209</v>
      </c>
      <c r="D69" s="1" t="s">
        <v>234</v>
      </c>
      <c r="E69" s="1" t="s">
        <v>295</v>
      </c>
      <c r="F69" s="1"/>
      <c r="G69" s="1">
        <v>210</v>
      </c>
      <c r="H69" s="1"/>
      <c r="I69" s="1"/>
      <c r="J69" s="74"/>
      <c r="K69" s="74"/>
      <c r="L69" s="74"/>
    </row>
    <row r="70" spans="2:12" x14ac:dyDescent="0.2">
      <c r="B70" s="27">
        <v>45797</v>
      </c>
      <c r="C70" s="1" t="s">
        <v>209</v>
      </c>
      <c r="D70" s="1" t="s">
        <v>295</v>
      </c>
      <c r="E70" s="1" t="s">
        <v>296</v>
      </c>
      <c r="F70" s="1"/>
      <c r="G70" s="1">
        <v>180</v>
      </c>
      <c r="H70" s="1"/>
      <c r="I70" s="1"/>
      <c r="J70" s="74"/>
      <c r="K70" s="74"/>
      <c r="L70" s="74"/>
    </row>
    <row r="71" spans="2:12" x14ac:dyDescent="0.2">
      <c r="B71" s="31">
        <v>45797</v>
      </c>
      <c r="C71" s="1" t="s">
        <v>209</v>
      </c>
      <c r="D71" s="1" t="s">
        <v>297</v>
      </c>
      <c r="E71" s="1" t="s">
        <v>234</v>
      </c>
      <c r="F71" s="1"/>
      <c r="G71" s="1">
        <v>260</v>
      </c>
      <c r="H71" s="1"/>
      <c r="I71" s="1"/>
      <c r="J71" s="74"/>
      <c r="K71" s="74"/>
      <c r="L71" s="74"/>
    </row>
    <row r="72" spans="2:12" x14ac:dyDescent="0.2">
      <c r="B72" s="27">
        <v>45798</v>
      </c>
      <c r="C72" s="1" t="s">
        <v>198</v>
      </c>
      <c r="D72" s="1" t="s">
        <v>300</v>
      </c>
      <c r="E72" s="1" t="s">
        <v>301</v>
      </c>
      <c r="F72" s="1"/>
      <c r="G72" s="1">
        <v>210</v>
      </c>
      <c r="H72" s="1"/>
      <c r="I72" s="1"/>
      <c r="J72" s="74"/>
      <c r="K72" s="74"/>
      <c r="L72" s="74"/>
    </row>
    <row r="73" spans="2:12" x14ac:dyDescent="0.2">
      <c r="B73" s="27">
        <v>45798</v>
      </c>
      <c r="C73" s="1" t="s">
        <v>198</v>
      </c>
      <c r="D73" s="1" t="s">
        <v>385</v>
      </c>
      <c r="E73" s="1" t="s">
        <v>386</v>
      </c>
      <c r="F73" s="1"/>
      <c r="G73" s="1">
        <v>180</v>
      </c>
      <c r="H73" s="1"/>
      <c r="I73" s="1"/>
      <c r="J73" s="74"/>
      <c r="K73" s="74"/>
      <c r="L73" s="74"/>
    </row>
    <row r="74" spans="2:12" x14ac:dyDescent="0.2">
      <c r="B74" s="27">
        <v>45799</v>
      </c>
      <c r="C74" s="1" t="s">
        <v>199</v>
      </c>
      <c r="D74" s="1" t="s">
        <v>300</v>
      </c>
      <c r="E74" s="1" t="s">
        <v>302</v>
      </c>
      <c r="F74" s="1"/>
      <c r="G74" s="1">
        <v>420</v>
      </c>
      <c r="H74" s="1"/>
      <c r="I74" s="1"/>
      <c r="J74" s="74"/>
      <c r="K74" s="74"/>
      <c r="L74" s="74"/>
    </row>
    <row r="75" spans="2:12" x14ac:dyDescent="0.2">
      <c r="B75" s="27">
        <v>45799</v>
      </c>
      <c r="C75" s="1" t="s">
        <v>199</v>
      </c>
      <c r="D75" s="1"/>
      <c r="E75" s="1"/>
      <c r="F75" s="1"/>
      <c r="G75" s="1"/>
      <c r="H75" s="1"/>
      <c r="I75" s="1"/>
      <c r="J75" s="74"/>
      <c r="K75" s="74"/>
      <c r="L75" s="74"/>
    </row>
    <row r="76" spans="2:12" x14ac:dyDescent="0.2">
      <c r="B76" s="27">
        <v>45800</v>
      </c>
      <c r="C76" s="1" t="s">
        <v>203</v>
      </c>
      <c r="D76" s="1" t="s">
        <v>234</v>
      </c>
      <c r="E76" s="1" t="s">
        <v>248</v>
      </c>
      <c r="F76" s="1"/>
      <c r="G76" s="1">
        <v>390</v>
      </c>
      <c r="H76" s="1"/>
      <c r="I76" s="1"/>
      <c r="J76" s="74"/>
      <c r="K76" s="74"/>
      <c r="L76" s="74"/>
    </row>
    <row r="77" spans="2:12" x14ac:dyDescent="0.2">
      <c r="B77" s="27">
        <v>45800</v>
      </c>
      <c r="C77" s="1" t="s">
        <v>203</v>
      </c>
      <c r="D77" s="1" t="s">
        <v>248</v>
      </c>
      <c r="E77" s="1" t="s">
        <v>247</v>
      </c>
      <c r="F77" s="1"/>
      <c r="G77" s="1">
        <v>430</v>
      </c>
      <c r="H77" s="1"/>
      <c r="I77" s="1"/>
      <c r="J77" s="74"/>
      <c r="K77" s="74"/>
      <c r="L77" s="74"/>
    </row>
    <row r="78" spans="2:12" x14ac:dyDescent="0.2">
      <c r="B78" s="27">
        <v>45800</v>
      </c>
      <c r="C78" s="1" t="s">
        <v>203</v>
      </c>
      <c r="D78" s="1"/>
      <c r="E78" s="1"/>
      <c r="F78" s="1"/>
      <c r="G78" s="1">
        <v>490</v>
      </c>
      <c r="H78" s="1"/>
      <c r="I78" s="1"/>
      <c r="J78" s="74" t="s">
        <v>217</v>
      </c>
      <c r="K78" s="74"/>
      <c r="L78" s="74"/>
    </row>
    <row r="79" spans="2:12" x14ac:dyDescent="0.2">
      <c r="B79" s="31">
        <v>45800</v>
      </c>
      <c r="C79" s="32" t="s">
        <v>203</v>
      </c>
      <c r="D79" s="1" t="s">
        <v>247</v>
      </c>
      <c r="E79" s="1" t="s">
        <v>303</v>
      </c>
      <c r="F79" s="1"/>
      <c r="G79" s="1">
        <v>930</v>
      </c>
      <c r="H79" s="1"/>
      <c r="I79" s="1"/>
      <c r="J79" s="74"/>
      <c r="K79" s="74"/>
      <c r="L79" s="74"/>
    </row>
    <row r="80" spans="2:12" x14ac:dyDescent="0.2">
      <c r="B80" s="31">
        <v>45800</v>
      </c>
      <c r="C80" s="32" t="s">
        <v>203</v>
      </c>
      <c r="D80" s="1" t="s">
        <v>303</v>
      </c>
      <c r="E80" s="1" t="s">
        <v>300</v>
      </c>
      <c r="F80" s="1"/>
      <c r="G80" s="1">
        <v>700</v>
      </c>
      <c r="H80" s="1"/>
      <c r="I80" s="1"/>
      <c r="J80" s="74"/>
      <c r="K80" s="74"/>
      <c r="L80" s="74"/>
    </row>
    <row r="81" spans="2:12" x14ac:dyDescent="0.2">
      <c r="B81" s="31">
        <v>45801</v>
      </c>
      <c r="C81" s="32" t="s">
        <v>208</v>
      </c>
      <c r="D81" s="1" t="s">
        <v>300</v>
      </c>
      <c r="E81" s="1" t="s">
        <v>73</v>
      </c>
      <c r="F81" s="1"/>
      <c r="G81" s="1">
        <v>180</v>
      </c>
      <c r="H81" s="1"/>
      <c r="I81" s="1"/>
      <c r="J81" s="74"/>
      <c r="K81" s="74"/>
      <c r="L81" s="74"/>
    </row>
    <row r="82" spans="2:12" x14ac:dyDescent="0.2">
      <c r="B82" s="27">
        <v>45801</v>
      </c>
      <c r="C82" s="1" t="s">
        <v>208</v>
      </c>
      <c r="D82" s="1" t="s">
        <v>73</v>
      </c>
      <c r="E82" s="1" t="s">
        <v>75</v>
      </c>
      <c r="F82" s="1"/>
      <c r="G82" s="35">
        <v>11940</v>
      </c>
      <c r="H82" s="1">
        <v>7223</v>
      </c>
      <c r="I82" s="1"/>
      <c r="J82" s="74"/>
      <c r="K82" s="74"/>
      <c r="L82" s="74"/>
    </row>
    <row r="83" spans="2:12" x14ac:dyDescent="0.2">
      <c r="B83" s="27">
        <v>45801</v>
      </c>
      <c r="C83" s="1" t="s">
        <v>208</v>
      </c>
      <c r="D83" s="1" t="s">
        <v>306</v>
      </c>
      <c r="E83" s="1" t="s">
        <v>387</v>
      </c>
      <c r="F83" s="1"/>
      <c r="G83" s="1">
        <v>180</v>
      </c>
      <c r="H83" s="1"/>
      <c r="I83" s="1"/>
      <c r="J83" s="74"/>
      <c r="K83" s="74"/>
      <c r="L83" s="74"/>
    </row>
    <row r="84" spans="2:12" x14ac:dyDescent="0.2">
      <c r="B84" s="27">
        <v>45801</v>
      </c>
      <c r="C84" s="1" t="s">
        <v>208</v>
      </c>
      <c r="D84" s="1" t="s">
        <v>387</v>
      </c>
      <c r="E84" s="1" t="s">
        <v>310</v>
      </c>
      <c r="F84" s="1"/>
      <c r="G84" s="1">
        <v>0</v>
      </c>
      <c r="H84" s="1"/>
      <c r="I84" s="1"/>
      <c r="J84" s="74" t="s">
        <v>388</v>
      </c>
      <c r="K84" s="74"/>
      <c r="L84" s="74"/>
    </row>
    <row r="85" spans="2:12" x14ac:dyDescent="0.2">
      <c r="B85" s="27">
        <v>45801</v>
      </c>
      <c r="C85" s="1" t="s">
        <v>208</v>
      </c>
      <c r="D85" s="1" t="s">
        <v>310</v>
      </c>
      <c r="E85" s="1" t="s">
        <v>387</v>
      </c>
      <c r="F85" s="1"/>
      <c r="G85" s="1">
        <v>0</v>
      </c>
      <c r="H85" s="1"/>
      <c r="I85" s="1"/>
      <c r="J85" s="74"/>
      <c r="K85" s="74"/>
      <c r="L85" s="74"/>
    </row>
    <row r="86" spans="2:12" x14ac:dyDescent="0.2">
      <c r="B86" s="27">
        <v>45801</v>
      </c>
      <c r="C86" s="1" t="s">
        <v>208</v>
      </c>
      <c r="D86" s="1" t="s">
        <v>387</v>
      </c>
      <c r="E86" s="1" t="s">
        <v>389</v>
      </c>
      <c r="F86" s="1"/>
      <c r="G86" s="1">
        <v>230</v>
      </c>
      <c r="H86" s="1"/>
      <c r="I86" s="1"/>
      <c r="J86" s="74"/>
      <c r="K86" s="74"/>
      <c r="L86" s="74"/>
    </row>
    <row r="87" spans="2:12" x14ac:dyDescent="0.2">
      <c r="B87" s="27">
        <v>45802</v>
      </c>
      <c r="C87" s="1" t="s">
        <v>209</v>
      </c>
      <c r="D87" s="1" t="s">
        <v>75</v>
      </c>
      <c r="E87" s="1" t="s">
        <v>250</v>
      </c>
      <c r="F87" s="1"/>
      <c r="G87" s="1">
        <v>240</v>
      </c>
      <c r="H87" s="1"/>
      <c r="I87" s="1"/>
      <c r="J87" s="74"/>
      <c r="K87" s="74"/>
      <c r="L87" s="74"/>
    </row>
    <row r="88" spans="2:12" x14ac:dyDescent="0.2">
      <c r="B88" s="27">
        <v>45802</v>
      </c>
      <c r="C88" s="1" t="s">
        <v>209</v>
      </c>
      <c r="D88" s="1" t="s">
        <v>305</v>
      </c>
      <c r="E88" s="1" t="s">
        <v>390</v>
      </c>
      <c r="F88" s="1" t="s">
        <v>190</v>
      </c>
      <c r="G88" s="1">
        <v>230</v>
      </c>
      <c r="H88" s="1"/>
      <c r="I88" s="1"/>
      <c r="J88" s="74"/>
      <c r="K88" s="74"/>
      <c r="L88" s="74"/>
    </row>
    <row r="89" spans="2:12" x14ac:dyDescent="0.2">
      <c r="B89" s="27">
        <v>45802</v>
      </c>
      <c r="C89" s="1" t="s">
        <v>209</v>
      </c>
      <c r="D89" s="1" t="s">
        <v>393</v>
      </c>
      <c r="E89" s="1" t="s">
        <v>394</v>
      </c>
      <c r="F89" s="1" t="s">
        <v>190</v>
      </c>
      <c r="G89" s="1">
        <v>230</v>
      </c>
      <c r="H89" s="1"/>
      <c r="I89" s="1"/>
      <c r="J89" s="74"/>
      <c r="K89" s="74"/>
      <c r="L89" s="74"/>
    </row>
    <row r="90" spans="2:12" x14ac:dyDescent="0.2">
      <c r="B90" s="27">
        <v>45803</v>
      </c>
      <c r="C90" s="1" t="s">
        <v>220</v>
      </c>
      <c r="D90" s="1" t="s">
        <v>306</v>
      </c>
      <c r="E90" s="1" t="s">
        <v>307</v>
      </c>
      <c r="F90" s="1"/>
      <c r="G90" s="1">
        <v>170</v>
      </c>
      <c r="H90" s="1"/>
      <c r="I90" s="1"/>
      <c r="J90" s="74"/>
      <c r="K90" s="74"/>
      <c r="L90" s="74"/>
    </row>
    <row r="91" spans="2:12" x14ac:dyDescent="0.2">
      <c r="B91" s="27">
        <v>45803</v>
      </c>
      <c r="C91" s="1" t="s">
        <v>220</v>
      </c>
      <c r="D91" s="1" t="s">
        <v>308</v>
      </c>
      <c r="E91" s="1" t="s">
        <v>309</v>
      </c>
      <c r="F91" s="1"/>
      <c r="G91" s="1">
        <v>430</v>
      </c>
      <c r="H91" s="1"/>
      <c r="I91" s="1"/>
      <c r="J91" s="74"/>
      <c r="K91" s="74"/>
      <c r="L91" s="74"/>
    </row>
    <row r="92" spans="2:12" x14ac:dyDescent="0.2">
      <c r="B92" s="27">
        <v>45803</v>
      </c>
      <c r="C92" s="1" t="s">
        <v>220</v>
      </c>
      <c r="D92" s="1" t="s">
        <v>309</v>
      </c>
      <c r="E92" s="1" t="s">
        <v>334</v>
      </c>
      <c r="F92" s="1"/>
      <c r="G92" s="1">
        <v>230</v>
      </c>
      <c r="H92" s="1"/>
      <c r="I92" s="1"/>
      <c r="J92" s="74"/>
      <c r="K92" s="74"/>
      <c r="L92" s="74"/>
    </row>
    <row r="93" spans="2:12" x14ac:dyDescent="0.2">
      <c r="B93" s="27">
        <v>45803</v>
      </c>
      <c r="C93" s="1" t="s">
        <v>220</v>
      </c>
      <c r="D93" s="1" t="s">
        <v>334</v>
      </c>
      <c r="E93" s="1" t="s">
        <v>377</v>
      </c>
      <c r="F93" s="1"/>
      <c r="G93" s="1">
        <v>460</v>
      </c>
      <c r="H93" s="1"/>
      <c r="I93" s="1"/>
      <c r="J93" s="74"/>
      <c r="K93" s="74"/>
      <c r="L93" s="74"/>
    </row>
    <row r="94" spans="2:12" x14ac:dyDescent="0.2">
      <c r="B94" s="27">
        <v>45804</v>
      </c>
      <c r="C94" s="1" t="s">
        <v>210</v>
      </c>
      <c r="D94" s="1" t="s">
        <v>75</v>
      </c>
      <c r="E94" s="1" t="s">
        <v>268</v>
      </c>
      <c r="F94" s="1"/>
      <c r="G94" s="1">
        <v>0</v>
      </c>
      <c r="H94" s="1"/>
      <c r="I94" s="1"/>
      <c r="J94" s="74" t="s">
        <v>312</v>
      </c>
      <c r="K94" s="74"/>
      <c r="L94" s="74"/>
    </row>
    <row r="95" spans="2:12" x14ac:dyDescent="0.2">
      <c r="B95" s="27">
        <v>45804</v>
      </c>
      <c r="C95" s="1" t="s">
        <v>210</v>
      </c>
      <c r="D95" s="1" t="s">
        <v>268</v>
      </c>
      <c r="E95" s="1" t="s">
        <v>75</v>
      </c>
      <c r="F95" s="1"/>
      <c r="G95" s="1">
        <v>0</v>
      </c>
      <c r="H95" s="1"/>
      <c r="I95" s="1"/>
      <c r="J95" s="74"/>
      <c r="K95" s="74"/>
      <c r="L95" s="74"/>
    </row>
    <row r="96" spans="2:12" x14ac:dyDescent="0.2">
      <c r="B96" s="27">
        <v>45804</v>
      </c>
      <c r="C96" s="1" t="s">
        <v>210</v>
      </c>
      <c r="D96" s="1" t="s">
        <v>75</v>
      </c>
      <c r="E96" s="1" t="s">
        <v>311</v>
      </c>
      <c r="F96" s="1"/>
      <c r="G96" s="1">
        <v>0</v>
      </c>
      <c r="H96" s="1"/>
      <c r="I96" s="1"/>
      <c r="J96" s="74"/>
      <c r="K96" s="74"/>
      <c r="L96" s="74"/>
    </row>
    <row r="97" spans="2:12" x14ac:dyDescent="0.2">
      <c r="B97" s="27">
        <v>45805</v>
      </c>
      <c r="C97" s="1" t="s">
        <v>198</v>
      </c>
      <c r="D97" s="1" t="s">
        <v>313</v>
      </c>
      <c r="E97" s="1" t="s">
        <v>314</v>
      </c>
      <c r="F97" s="1"/>
      <c r="G97" s="1">
        <v>210</v>
      </c>
      <c r="H97" s="1"/>
      <c r="I97" s="1"/>
      <c r="J97" s="74"/>
      <c r="K97" s="74"/>
      <c r="L97" s="74"/>
    </row>
    <row r="98" spans="2:12" x14ac:dyDescent="0.2">
      <c r="B98" s="27">
        <v>45805</v>
      </c>
      <c r="C98" s="1" t="s">
        <v>198</v>
      </c>
      <c r="D98" s="1" t="s">
        <v>314</v>
      </c>
      <c r="E98" s="1" t="s">
        <v>83</v>
      </c>
      <c r="F98" s="1"/>
      <c r="G98" s="1">
        <v>0</v>
      </c>
      <c r="H98" s="1"/>
      <c r="I98" s="1"/>
      <c r="J98" s="74"/>
      <c r="K98" s="74"/>
      <c r="L98" s="74"/>
    </row>
    <row r="99" spans="2:12" x14ac:dyDescent="0.2">
      <c r="B99" s="27">
        <v>45805</v>
      </c>
      <c r="C99" s="1" t="s">
        <v>198</v>
      </c>
      <c r="D99" s="1" t="s">
        <v>83</v>
      </c>
      <c r="E99" s="1" t="s">
        <v>314</v>
      </c>
      <c r="F99" s="1"/>
      <c r="G99" s="1">
        <v>0</v>
      </c>
      <c r="H99" s="1"/>
      <c r="I99" s="1"/>
      <c r="J99" s="74"/>
      <c r="K99" s="74"/>
      <c r="L99" s="74"/>
    </row>
    <row r="100" spans="2:12" x14ac:dyDescent="0.2">
      <c r="B100" s="27">
        <v>45805</v>
      </c>
      <c r="C100" s="1" t="s">
        <v>198</v>
      </c>
      <c r="D100" s="1" t="s">
        <v>314</v>
      </c>
      <c r="E100" s="1" t="s">
        <v>91</v>
      </c>
      <c r="F100" s="1"/>
      <c r="G100" s="1">
        <v>0</v>
      </c>
      <c r="H100" s="1"/>
      <c r="I100" s="1"/>
      <c r="J100" s="74"/>
      <c r="K100" s="74"/>
      <c r="L100" s="74"/>
    </row>
    <row r="101" spans="2:12" x14ac:dyDescent="0.2">
      <c r="B101" s="27">
        <v>45805</v>
      </c>
      <c r="C101" s="1" t="s">
        <v>198</v>
      </c>
      <c r="D101" s="1" t="s">
        <v>91</v>
      </c>
      <c r="E101" s="1" t="s">
        <v>315</v>
      </c>
      <c r="F101" s="1"/>
      <c r="G101" s="1">
        <v>240</v>
      </c>
      <c r="H101" s="1"/>
      <c r="I101" s="1"/>
      <c r="J101" s="74"/>
      <c r="K101" s="74"/>
      <c r="L101" s="74"/>
    </row>
    <row r="102" spans="2:12" x14ac:dyDescent="0.2">
      <c r="B102" s="27">
        <v>45806</v>
      </c>
      <c r="C102" s="1" t="s">
        <v>199</v>
      </c>
      <c r="D102" s="1" t="s">
        <v>316</v>
      </c>
      <c r="E102" s="1" t="s">
        <v>317</v>
      </c>
      <c r="F102" s="1"/>
      <c r="G102" s="1">
        <v>240</v>
      </c>
      <c r="H102" s="1"/>
      <c r="I102" s="1"/>
      <c r="J102" s="74"/>
      <c r="K102" s="74"/>
      <c r="L102" s="74"/>
    </row>
    <row r="103" spans="2:12" x14ac:dyDescent="0.2">
      <c r="B103" s="27">
        <v>45806</v>
      </c>
      <c r="C103" s="1" t="s">
        <v>199</v>
      </c>
      <c r="D103" s="1" t="s">
        <v>317</v>
      </c>
      <c r="E103" s="1" t="s">
        <v>318</v>
      </c>
      <c r="F103" s="1"/>
      <c r="G103" s="1">
        <v>0</v>
      </c>
      <c r="H103" s="1"/>
      <c r="I103" s="1"/>
      <c r="J103" s="74"/>
      <c r="K103" s="74"/>
      <c r="L103" s="74"/>
    </row>
    <row r="104" spans="2:12" x14ac:dyDescent="0.2">
      <c r="B104" s="27">
        <v>45806</v>
      </c>
      <c r="C104" s="1" t="s">
        <v>199</v>
      </c>
      <c r="D104" s="1" t="s">
        <v>318</v>
      </c>
      <c r="E104" s="1" t="s">
        <v>335</v>
      </c>
      <c r="F104" s="1"/>
      <c r="G104" s="1">
        <v>0</v>
      </c>
      <c r="H104" s="1"/>
      <c r="I104" s="1"/>
      <c r="J104" s="74"/>
      <c r="K104" s="74"/>
      <c r="L104" s="74"/>
    </row>
    <row r="105" spans="2:12" x14ac:dyDescent="0.2">
      <c r="B105" s="27"/>
      <c r="C105" s="1"/>
      <c r="D105" s="1" t="s">
        <v>335</v>
      </c>
      <c r="E105" s="1" t="s">
        <v>336</v>
      </c>
      <c r="F105" s="1"/>
      <c r="G105" s="1">
        <v>240</v>
      </c>
      <c r="H105" s="1"/>
      <c r="I105" s="1"/>
      <c r="J105" s="74"/>
      <c r="K105" s="74"/>
      <c r="L105" s="74"/>
    </row>
    <row r="106" spans="2:12" x14ac:dyDescent="0.2">
      <c r="B106" s="27">
        <v>45807</v>
      </c>
      <c r="C106" s="1" t="s">
        <v>203</v>
      </c>
      <c r="D106" s="1" t="s">
        <v>91</v>
      </c>
      <c r="E106" s="1" t="s">
        <v>277</v>
      </c>
      <c r="F106" s="1"/>
      <c r="G106" s="1">
        <v>0</v>
      </c>
      <c r="H106" s="1"/>
      <c r="I106" s="1"/>
      <c r="J106" s="74"/>
      <c r="K106" s="74"/>
      <c r="L106" s="74"/>
    </row>
    <row r="107" spans="2:12" x14ac:dyDescent="0.2">
      <c r="B107" s="27">
        <v>45807</v>
      </c>
      <c r="C107" s="1" t="s">
        <v>203</v>
      </c>
      <c r="D107" s="1" t="s">
        <v>277</v>
      </c>
      <c r="E107" s="1" t="s">
        <v>319</v>
      </c>
      <c r="F107" s="1"/>
      <c r="G107" s="1">
        <v>290</v>
      </c>
      <c r="H107" s="1"/>
      <c r="I107" s="1"/>
      <c r="J107" s="74"/>
      <c r="K107" s="74"/>
      <c r="L107" s="74"/>
    </row>
    <row r="108" spans="2:12" x14ac:dyDescent="0.2">
      <c r="B108" s="27">
        <v>45808</v>
      </c>
      <c r="C108" s="1" t="s">
        <v>208</v>
      </c>
      <c r="D108" s="1" t="s">
        <v>74</v>
      </c>
      <c r="E108" s="1" t="s">
        <v>81</v>
      </c>
      <c r="F108" s="1"/>
      <c r="G108" s="1">
        <v>0</v>
      </c>
      <c r="H108" s="1"/>
      <c r="I108" s="1"/>
      <c r="J108" s="74" t="s">
        <v>384</v>
      </c>
      <c r="K108" s="74"/>
      <c r="L108" s="74"/>
    </row>
    <row r="109" spans="2:12" x14ac:dyDescent="0.2">
      <c r="B109" s="27">
        <v>45808</v>
      </c>
      <c r="C109" s="1" t="s">
        <v>208</v>
      </c>
      <c r="D109" s="1" t="s">
        <v>81</v>
      </c>
      <c r="E109" s="1" t="s">
        <v>74</v>
      </c>
      <c r="F109" s="1"/>
      <c r="G109" s="1">
        <v>0</v>
      </c>
      <c r="H109" s="1"/>
      <c r="I109" s="1"/>
      <c r="J109" s="74" t="s">
        <v>384</v>
      </c>
      <c r="K109" s="74"/>
      <c r="L109" s="74"/>
    </row>
    <row r="110" spans="2:12" x14ac:dyDescent="0.2">
      <c r="B110" s="27">
        <v>45810</v>
      </c>
      <c r="C110" s="1" t="s">
        <v>220</v>
      </c>
      <c r="D110" s="1" t="s">
        <v>74</v>
      </c>
      <c r="E110" s="1" t="s">
        <v>337</v>
      </c>
      <c r="F110" s="1"/>
      <c r="G110" s="1">
        <v>1800</v>
      </c>
      <c r="H110" s="1"/>
      <c r="I110" s="1"/>
      <c r="J110" s="74"/>
      <c r="K110" s="74"/>
      <c r="L110" s="74"/>
    </row>
    <row r="111" spans="2:12" x14ac:dyDescent="0.2">
      <c r="B111" s="27"/>
      <c r="C111" s="1"/>
      <c r="D111" s="1"/>
      <c r="E111" s="1"/>
      <c r="F111" s="1"/>
      <c r="G111" s="1"/>
      <c r="H111" s="1"/>
      <c r="I111" s="1"/>
      <c r="J111" s="74"/>
      <c r="K111" s="74"/>
      <c r="L111" s="74"/>
    </row>
    <row r="112" spans="2:12" ht="19" x14ac:dyDescent="0.25">
      <c r="B112" s="13"/>
      <c r="C112" s="13"/>
      <c r="D112" s="3"/>
      <c r="E112" s="1"/>
      <c r="F112" s="3"/>
      <c r="G112" s="4">
        <f>SUM(G62:G111)</f>
        <v>26990</v>
      </c>
      <c r="H112" s="5">
        <f>SUM(H62:H111)</f>
        <v>9209.26</v>
      </c>
      <c r="I112" s="3"/>
      <c r="J112" s="74"/>
      <c r="K112" s="74"/>
      <c r="L112" s="74"/>
    </row>
  </sheetData>
  <mergeCells count="128">
    <mergeCell ref="J108:L108"/>
    <mergeCell ref="J109:L109"/>
    <mergeCell ref="J110:L110"/>
    <mergeCell ref="J64:L64"/>
    <mergeCell ref="J76:L76"/>
    <mergeCell ref="J77:L77"/>
    <mergeCell ref="J79:L79"/>
    <mergeCell ref="I41:L41"/>
    <mergeCell ref="J87:L87"/>
    <mergeCell ref="J88:L88"/>
    <mergeCell ref="J89:L89"/>
    <mergeCell ref="J107:L107"/>
    <mergeCell ref="I53:L53"/>
    <mergeCell ref="I51:L51"/>
    <mergeCell ref="I55:L55"/>
    <mergeCell ref="I49:L49"/>
    <mergeCell ref="J63:L63"/>
    <mergeCell ref="I50:L50"/>
    <mergeCell ref="B60:L60"/>
    <mergeCell ref="J61:L61"/>
    <mergeCell ref="J62:L62"/>
    <mergeCell ref="I54:L54"/>
    <mergeCell ref="J67:L67"/>
    <mergeCell ref="J68:L68"/>
    <mergeCell ref="J65:L65"/>
    <mergeCell ref="I46:L46"/>
    <mergeCell ref="I52:L52"/>
    <mergeCell ref="I56:L56"/>
    <mergeCell ref="I57:L57"/>
    <mergeCell ref="B58:L59"/>
    <mergeCell ref="N28:R28"/>
    <mergeCell ref="I34:L34"/>
    <mergeCell ref="J104:L104"/>
    <mergeCell ref="J105:L105"/>
    <mergeCell ref="J103:L103"/>
    <mergeCell ref="J106:L106"/>
    <mergeCell ref="J92:L92"/>
    <mergeCell ref="J93:L93"/>
    <mergeCell ref="J94:L94"/>
    <mergeCell ref="J95:L95"/>
    <mergeCell ref="J69:L69"/>
    <mergeCell ref="J70:L70"/>
    <mergeCell ref="J71:L71"/>
    <mergeCell ref="J112:L112"/>
    <mergeCell ref="J66:L66"/>
    <mergeCell ref="J72:L72"/>
    <mergeCell ref="J74:L74"/>
    <mergeCell ref="J83:L83"/>
    <mergeCell ref="J80:L80"/>
    <mergeCell ref="J81:L81"/>
    <mergeCell ref="J111:L111"/>
    <mergeCell ref="J73:L73"/>
    <mergeCell ref="J78:L78"/>
    <mergeCell ref="J101:L101"/>
    <mergeCell ref="J102:L102"/>
    <mergeCell ref="J82:L82"/>
    <mergeCell ref="J96:L96"/>
    <mergeCell ref="J97:L97"/>
    <mergeCell ref="J98:L98"/>
    <mergeCell ref="J99:L99"/>
    <mergeCell ref="J90:L90"/>
    <mergeCell ref="J75:L75"/>
    <mergeCell ref="J85:L85"/>
    <mergeCell ref="J84:L84"/>
    <mergeCell ref="J86:L86"/>
    <mergeCell ref="J100:L100"/>
    <mergeCell ref="J91:L91"/>
    <mergeCell ref="I26:L26"/>
    <mergeCell ref="I47:L47"/>
    <mergeCell ref="I48:L48"/>
    <mergeCell ref="I40:L40"/>
    <mergeCell ref="I39:L39"/>
    <mergeCell ref="I38:L38"/>
    <mergeCell ref="N33:O33"/>
    <mergeCell ref="Q24:R24"/>
    <mergeCell ref="I31:L31"/>
    <mergeCell ref="I28:L28"/>
    <mergeCell ref="I35:L35"/>
    <mergeCell ref="I30:L30"/>
    <mergeCell ref="I29:L29"/>
    <mergeCell ref="I44:L44"/>
    <mergeCell ref="I45:L45"/>
    <mergeCell ref="I42:L42"/>
    <mergeCell ref="I43:L43"/>
    <mergeCell ref="I32:L32"/>
    <mergeCell ref="I33:L33"/>
    <mergeCell ref="I36:L36"/>
    <mergeCell ref="I37:L37"/>
    <mergeCell ref="I24:L24"/>
    <mergeCell ref="I27:L27"/>
    <mergeCell ref="Q25:R25"/>
    <mergeCell ref="B2:L2"/>
    <mergeCell ref="N2:P2"/>
    <mergeCell ref="H3:K3"/>
    <mergeCell ref="H9:K9"/>
    <mergeCell ref="Q11:R11"/>
    <mergeCell ref="B10:L11"/>
    <mergeCell ref="H4:K4"/>
    <mergeCell ref="H5:K5"/>
    <mergeCell ref="H7:K7"/>
    <mergeCell ref="H6:K6"/>
    <mergeCell ref="H8:K8"/>
    <mergeCell ref="N8:P9"/>
    <mergeCell ref="N10:R10"/>
    <mergeCell ref="Q23:R23"/>
    <mergeCell ref="I25:L25"/>
    <mergeCell ref="N21:R21"/>
    <mergeCell ref="Q12:R12"/>
    <mergeCell ref="B12:L12"/>
    <mergeCell ref="Q15:R15"/>
    <mergeCell ref="Q16:R16"/>
    <mergeCell ref="I22:L22"/>
    <mergeCell ref="I23:L23"/>
    <mergeCell ref="Q13:R13"/>
    <mergeCell ref="Q14:R14"/>
    <mergeCell ref="I14:L14"/>
    <mergeCell ref="I20:L20"/>
    <mergeCell ref="I21:L21"/>
    <mergeCell ref="I16:L16"/>
    <mergeCell ref="I17:L17"/>
    <mergeCell ref="I18:L18"/>
    <mergeCell ref="Q17:R17"/>
    <mergeCell ref="I19:L19"/>
    <mergeCell ref="Q18:R18"/>
    <mergeCell ref="I15:L15"/>
    <mergeCell ref="I13:L13"/>
    <mergeCell ref="Q22:R22"/>
    <mergeCell ref="N19:R20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645C-75EE-8D4F-9EC4-3C4B736D2C50}">
  <dimension ref="B2:R111"/>
  <sheetViews>
    <sheetView topLeftCell="A71" zoomScaleNormal="100" workbookViewId="0">
      <selection activeCell="I5" sqref="I5:K5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230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102</v>
      </c>
    </row>
    <row r="4" spans="2:18" ht="19" x14ac:dyDescent="0.25">
      <c r="B4" s="13">
        <v>45875</v>
      </c>
      <c r="C4" s="13">
        <v>45877</v>
      </c>
      <c r="D4" s="3" t="s">
        <v>403</v>
      </c>
      <c r="E4" s="3" t="s">
        <v>413</v>
      </c>
      <c r="F4" s="3">
        <v>39.17</v>
      </c>
      <c r="G4" s="3">
        <v>3983.79</v>
      </c>
      <c r="H4" s="50">
        <f>F4/L4</f>
        <v>19.585000000000001</v>
      </c>
      <c r="I4" s="95"/>
      <c r="J4" s="95"/>
      <c r="K4" s="95"/>
      <c r="L4" s="3">
        <f t="shared" ref="L4:L10" si="0">C4-B4</f>
        <v>2</v>
      </c>
      <c r="N4" s="3" t="s">
        <v>46</v>
      </c>
      <c r="O4" s="3">
        <v>1390</v>
      </c>
      <c r="P4" s="3"/>
    </row>
    <row r="5" spans="2:18" ht="19" x14ac:dyDescent="0.25">
      <c r="B5" s="13">
        <v>45877</v>
      </c>
      <c r="C5" s="13">
        <v>45878</v>
      </c>
      <c r="D5" s="3" t="s">
        <v>171</v>
      </c>
      <c r="E5" s="3" t="s">
        <v>440</v>
      </c>
      <c r="F5" s="3">
        <v>26</v>
      </c>
      <c r="G5" s="3">
        <v>2644.33</v>
      </c>
      <c r="H5" s="50">
        <f t="shared" ref="H5:H10" si="1">F5/L5</f>
        <v>26</v>
      </c>
      <c r="I5" s="95"/>
      <c r="J5" s="95"/>
      <c r="K5" s="95"/>
      <c r="L5" s="3">
        <f t="shared" si="0"/>
        <v>1</v>
      </c>
      <c r="N5" s="3" t="s">
        <v>48</v>
      </c>
      <c r="O5" s="3">
        <v>8610</v>
      </c>
      <c r="P5" s="3"/>
    </row>
    <row r="6" spans="2:18" ht="19" x14ac:dyDescent="0.25">
      <c r="B6" s="13">
        <v>45878</v>
      </c>
      <c r="C6" s="13">
        <v>45883</v>
      </c>
      <c r="D6" s="3" t="s">
        <v>171</v>
      </c>
      <c r="E6" s="3" t="s">
        <v>435</v>
      </c>
      <c r="F6" s="3">
        <v>128</v>
      </c>
      <c r="G6" s="3">
        <v>13018.26</v>
      </c>
      <c r="H6" s="50">
        <f t="shared" si="1"/>
        <v>25.6</v>
      </c>
      <c r="I6" s="95"/>
      <c r="J6" s="95"/>
      <c r="K6" s="95"/>
      <c r="L6" s="3">
        <f t="shared" si="0"/>
        <v>5</v>
      </c>
      <c r="N6" s="3" t="s">
        <v>49</v>
      </c>
      <c r="O6" s="3">
        <v>2605</v>
      </c>
      <c r="P6" s="3"/>
    </row>
    <row r="7" spans="2:18" ht="19" x14ac:dyDescent="0.25">
      <c r="B7" s="13">
        <v>45883</v>
      </c>
      <c r="C7" s="13">
        <v>45885</v>
      </c>
      <c r="D7" s="3" t="s">
        <v>172</v>
      </c>
      <c r="E7" s="3" t="s">
        <v>414</v>
      </c>
      <c r="F7" s="3">
        <v>50.6</v>
      </c>
      <c r="G7" s="3">
        <v>5146.28</v>
      </c>
      <c r="H7" s="50">
        <f t="shared" si="1"/>
        <v>25.3</v>
      </c>
      <c r="I7" s="95"/>
      <c r="J7" s="95"/>
      <c r="K7" s="95"/>
      <c r="L7" s="3">
        <f t="shared" si="0"/>
        <v>2</v>
      </c>
      <c r="N7" s="3" t="s">
        <v>37</v>
      </c>
      <c r="O7" s="5">
        <f>SUM(O4:O6)</f>
        <v>12605</v>
      </c>
      <c r="P7" s="3"/>
    </row>
    <row r="8" spans="2:18" ht="19" x14ac:dyDescent="0.25">
      <c r="B8" s="13">
        <v>45885</v>
      </c>
      <c r="C8" s="13">
        <v>45892</v>
      </c>
      <c r="D8" s="3" t="s">
        <v>173</v>
      </c>
      <c r="E8" s="3" t="s">
        <v>415</v>
      </c>
      <c r="F8" s="3">
        <v>121.47</v>
      </c>
      <c r="G8" s="3">
        <v>12354.13</v>
      </c>
      <c r="H8" s="50">
        <f>F8/L8</f>
        <v>17.352857142857143</v>
      </c>
      <c r="I8" s="95"/>
      <c r="J8" s="95"/>
      <c r="K8" s="95"/>
      <c r="L8" s="3">
        <f t="shared" si="0"/>
        <v>7</v>
      </c>
      <c r="N8" s="89"/>
      <c r="O8" s="89"/>
      <c r="P8" s="89"/>
    </row>
    <row r="9" spans="2:18" ht="19" x14ac:dyDescent="0.25">
      <c r="B9" s="13">
        <v>45892</v>
      </c>
      <c r="C9" s="13">
        <v>45893</v>
      </c>
      <c r="D9" s="3" t="s">
        <v>174</v>
      </c>
      <c r="E9" s="3" t="s">
        <v>443</v>
      </c>
      <c r="F9" s="3">
        <v>25</v>
      </c>
      <c r="G9" s="3">
        <v>2542.63</v>
      </c>
      <c r="H9" s="50">
        <f t="shared" si="1"/>
        <v>25</v>
      </c>
      <c r="I9" s="95"/>
      <c r="J9" s="95"/>
      <c r="K9" s="95"/>
      <c r="L9" s="3">
        <f t="shared" si="0"/>
        <v>1</v>
      </c>
      <c r="N9" s="90"/>
      <c r="O9" s="90"/>
      <c r="P9" s="90"/>
    </row>
    <row r="10" spans="2:18" ht="19" x14ac:dyDescent="0.25">
      <c r="B10" s="13">
        <v>45893</v>
      </c>
      <c r="C10" s="13">
        <v>45900</v>
      </c>
      <c r="D10" s="3" t="s">
        <v>175</v>
      </c>
      <c r="E10" s="3" t="s">
        <v>416</v>
      </c>
      <c r="F10" s="3">
        <v>128</v>
      </c>
      <c r="G10" s="3">
        <v>13018.26</v>
      </c>
      <c r="H10" s="50">
        <f t="shared" si="1"/>
        <v>18.285714285714285</v>
      </c>
      <c r="I10" s="95"/>
      <c r="J10" s="95"/>
      <c r="K10" s="95"/>
      <c r="L10" s="3">
        <f t="shared" si="0"/>
        <v>7</v>
      </c>
      <c r="N10" s="81" t="s">
        <v>69</v>
      </c>
      <c r="O10" s="82"/>
      <c r="P10" s="82"/>
      <c r="Q10" s="82"/>
      <c r="R10" s="83"/>
    </row>
    <row r="11" spans="2:18" ht="19" x14ac:dyDescent="0.25">
      <c r="B11" s="13"/>
      <c r="C11" s="13"/>
      <c r="D11" s="3"/>
      <c r="E11" s="3"/>
      <c r="F11" s="3"/>
      <c r="G11" s="3"/>
      <c r="H11" s="11"/>
      <c r="I11" s="95"/>
      <c r="J11" s="95"/>
      <c r="K11" s="95"/>
      <c r="L11" s="3"/>
      <c r="N11" s="6" t="s">
        <v>45</v>
      </c>
      <c r="O11" s="6" t="s">
        <v>230</v>
      </c>
      <c r="P11" s="6" t="s">
        <v>53</v>
      </c>
      <c r="Q11" s="77" t="s">
        <v>7</v>
      </c>
      <c r="R11" s="78"/>
    </row>
    <row r="12" spans="2:18" ht="19" x14ac:dyDescent="0.25">
      <c r="B12" s="2"/>
      <c r="C12" s="2"/>
      <c r="D12" s="3"/>
      <c r="E12" s="3"/>
      <c r="F12" s="3">
        <f>SUM(F4:F11)</f>
        <v>518.24</v>
      </c>
      <c r="G12" s="5">
        <f>SUM(G4:G10)</f>
        <v>52707.68</v>
      </c>
      <c r="H12" s="50">
        <f>F12/L12</f>
        <v>20.729600000000001</v>
      </c>
      <c r="I12" s="95"/>
      <c r="J12" s="95"/>
      <c r="K12" s="95"/>
      <c r="L12" s="3">
        <f>SUM(L4:L11)</f>
        <v>25</v>
      </c>
      <c r="N12" s="24" t="s">
        <v>223</v>
      </c>
      <c r="O12" s="25">
        <v>75</v>
      </c>
      <c r="P12" s="25">
        <v>7626.65</v>
      </c>
      <c r="Q12" s="120" t="s">
        <v>171</v>
      </c>
      <c r="R12" s="121"/>
    </row>
    <row r="13" spans="2:18" ht="19" x14ac:dyDescent="0.25">
      <c r="B13" s="38"/>
      <c r="C13" s="38"/>
      <c r="D13" s="89"/>
      <c r="E13" s="89"/>
      <c r="F13" s="89"/>
      <c r="G13" s="89"/>
      <c r="H13" s="89"/>
      <c r="I13" s="89"/>
      <c r="J13" s="89"/>
      <c r="K13" s="89"/>
      <c r="L13" s="89"/>
      <c r="N13" s="24" t="s">
        <v>455</v>
      </c>
      <c r="O13" s="25">
        <v>8</v>
      </c>
      <c r="P13" s="25"/>
      <c r="Q13" s="51" t="s">
        <v>171</v>
      </c>
      <c r="R13" s="52"/>
    </row>
    <row r="14" spans="2:18" ht="19" x14ac:dyDescent="0.25">
      <c r="D14" s="122"/>
      <c r="E14" s="122"/>
      <c r="F14" s="122"/>
      <c r="G14" s="122"/>
      <c r="H14" s="122"/>
      <c r="I14" s="122"/>
      <c r="J14" s="122"/>
      <c r="K14" s="122"/>
      <c r="L14" s="122"/>
      <c r="N14" s="24" t="s">
        <v>441</v>
      </c>
      <c r="O14" s="25">
        <v>63</v>
      </c>
      <c r="P14" s="25">
        <v>6406</v>
      </c>
      <c r="Q14" s="120" t="s">
        <v>449</v>
      </c>
      <c r="R14" s="121"/>
    </row>
    <row r="15" spans="2:18" ht="19" x14ac:dyDescent="0.25">
      <c r="C15" s="96" t="s">
        <v>68</v>
      </c>
      <c r="D15" s="96"/>
      <c r="E15" s="96"/>
      <c r="F15" s="96"/>
      <c r="G15" s="96"/>
      <c r="H15" s="96"/>
      <c r="I15" s="96"/>
      <c r="J15" s="96"/>
      <c r="K15" s="96"/>
      <c r="L15" s="96"/>
      <c r="N15" s="18" t="s">
        <v>434</v>
      </c>
      <c r="O15" s="19">
        <v>56</v>
      </c>
      <c r="P15" s="19">
        <v>5695</v>
      </c>
      <c r="Q15" s="48" t="s">
        <v>436</v>
      </c>
      <c r="R15" s="49"/>
    </row>
    <row r="16" spans="2:18" ht="19" x14ac:dyDescent="0.25">
      <c r="C16" s="12" t="s">
        <v>20</v>
      </c>
      <c r="D16" s="98" t="s">
        <v>2</v>
      </c>
      <c r="E16" s="98"/>
      <c r="F16" s="12" t="s">
        <v>21</v>
      </c>
      <c r="G16" s="12" t="s">
        <v>230</v>
      </c>
      <c r="H16" s="12" t="s">
        <v>53</v>
      </c>
      <c r="I16" s="77" t="s">
        <v>7</v>
      </c>
      <c r="J16" s="88"/>
      <c r="K16" s="88"/>
      <c r="L16" s="78"/>
      <c r="N16" s="18" t="s">
        <v>455</v>
      </c>
      <c r="O16" s="19">
        <v>13.5</v>
      </c>
      <c r="P16" s="19"/>
      <c r="Q16" s="141" t="s">
        <v>175</v>
      </c>
      <c r="R16" s="142"/>
    </row>
    <row r="17" spans="3:18" ht="19" x14ac:dyDescent="0.25">
      <c r="C17" s="42">
        <v>45875</v>
      </c>
      <c r="D17" s="129" t="s">
        <v>418</v>
      </c>
      <c r="E17" s="129"/>
      <c r="F17" s="40" t="s">
        <v>403</v>
      </c>
      <c r="G17" s="41">
        <v>0</v>
      </c>
      <c r="H17" s="41"/>
      <c r="I17" s="138" t="s">
        <v>457</v>
      </c>
      <c r="J17" s="139"/>
      <c r="K17" s="139"/>
      <c r="L17" s="140"/>
      <c r="N17" s="21" t="s">
        <v>455</v>
      </c>
      <c r="O17" s="22">
        <v>8</v>
      </c>
      <c r="P17" s="22"/>
      <c r="Q17" s="127" t="s">
        <v>173</v>
      </c>
      <c r="R17" s="128"/>
    </row>
    <row r="18" spans="3:18" ht="19" x14ac:dyDescent="0.25">
      <c r="C18" s="42">
        <v>45875</v>
      </c>
      <c r="D18" s="129" t="s">
        <v>448</v>
      </c>
      <c r="E18" s="129"/>
      <c r="F18" s="40" t="s">
        <v>403</v>
      </c>
      <c r="G18" s="41">
        <v>5</v>
      </c>
      <c r="H18" s="41">
        <v>508.44</v>
      </c>
      <c r="I18" s="138"/>
      <c r="J18" s="139"/>
      <c r="K18" s="139"/>
      <c r="L18" s="140"/>
      <c r="N18" s="40" t="s">
        <v>417</v>
      </c>
      <c r="O18" s="41">
        <v>81</v>
      </c>
      <c r="P18" s="41"/>
      <c r="Q18" s="143" t="s">
        <v>403</v>
      </c>
      <c r="R18" s="144"/>
    </row>
    <row r="19" spans="3:18" ht="19" x14ac:dyDescent="0.25">
      <c r="C19" s="42">
        <v>45875</v>
      </c>
      <c r="D19" s="129" t="s">
        <v>419</v>
      </c>
      <c r="E19" s="129"/>
      <c r="F19" s="40" t="s">
        <v>403</v>
      </c>
      <c r="G19" s="41">
        <v>0</v>
      </c>
      <c r="H19" s="41"/>
      <c r="I19" s="138" t="s">
        <v>457</v>
      </c>
      <c r="J19" s="139"/>
      <c r="K19" s="139"/>
      <c r="L19" s="140"/>
      <c r="N19" s="3" t="s">
        <v>442</v>
      </c>
      <c r="O19" s="4">
        <v>10</v>
      </c>
      <c r="P19" s="4">
        <v>1037.5999999999999</v>
      </c>
      <c r="Q19" s="84" t="s">
        <v>458</v>
      </c>
      <c r="R19" s="85"/>
    </row>
    <row r="20" spans="3:18" ht="19" x14ac:dyDescent="0.25">
      <c r="C20" s="42">
        <v>45876</v>
      </c>
      <c r="D20" s="129" t="s">
        <v>420</v>
      </c>
      <c r="E20" s="129"/>
      <c r="F20" s="40" t="s">
        <v>403</v>
      </c>
      <c r="G20" s="41">
        <v>0</v>
      </c>
      <c r="H20" s="41"/>
      <c r="I20" s="138" t="s">
        <v>457</v>
      </c>
      <c r="J20" s="139"/>
      <c r="K20" s="139"/>
      <c r="L20" s="140"/>
      <c r="N20" s="3"/>
      <c r="O20" s="4"/>
      <c r="P20" s="4"/>
      <c r="Q20" s="84"/>
      <c r="R20" s="85"/>
    </row>
    <row r="21" spans="3:18" ht="19" x14ac:dyDescent="0.25">
      <c r="C21" s="42">
        <v>45876</v>
      </c>
      <c r="D21" s="129" t="s">
        <v>421</v>
      </c>
      <c r="E21" s="129"/>
      <c r="F21" s="40" t="s">
        <v>403</v>
      </c>
      <c r="G21" s="41">
        <v>0</v>
      </c>
      <c r="H21" s="41"/>
      <c r="I21" s="138" t="s">
        <v>457</v>
      </c>
      <c r="J21" s="139"/>
      <c r="K21" s="139"/>
      <c r="L21" s="140"/>
      <c r="N21" s="3"/>
      <c r="O21" s="4"/>
      <c r="P21" s="4"/>
      <c r="Q21" s="84"/>
      <c r="R21" s="85"/>
    </row>
    <row r="22" spans="3:18" ht="19" x14ac:dyDescent="0.25">
      <c r="C22" s="42">
        <v>45876</v>
      </c>
      <c r="D22" s="129" t="s">
        <v>422</v>
      </c>
      <c r="E22" s="129"/>
      <c r="F22" s="40" t="s">
        <v>403</v>
      </c>
      <c r="G22" s="41">
        <v>0</v>
      </c>
      <c r="H22" s="41"/>
      <c r="I22" s="138" t="s">
        <v>457</v>
      </c>
      <c r="J22" s="139"/>
      <c r="K22" s="139"/>
      <c r="L22" s="140"/>
      <c r="N22" s="3"/>
      <c r="O22" s="15">
        <f>SUM(O12:O21)</f>
        <v>314.5</v>
      </c>
      <c r="P22" s="5">
        <f>SUM(P12:P19)</f>
        <v>20765.25</v>
      </c>
      <c r="Q22" s="86"/>
      <c r="R22" s="87"/>
    </row>
    <row r="23" spans="3:18" ht="19" x14ac:dyDescent="0.25">
      <c r="C23" s="42">
        <v>45876</v>
      </c>
      <c r="D23" s="129" t="s">
        <v>423</v>
      </c>
      <c r="E23" s="129"/>
      <c r="F23" s="40" t="s">
        <v>403</v>
      </c>
      <c r="G23" s="41">
        <v>0</v>
      </c>
      <c r="H23" s="41"/>
      <c r="I23" s="138" t="s">
        <v>457</v>
      </c>
      <c r="J23" s="139"/>
      <c r="K23" s="139"/>
      <c r="L23" s="140"/>
      <c r="N23" s="89"/>
      <c r="O23" s="89"/>
      <c r="P23" s="89"/>
      <c r="Q23" s="89"/>
      <c r="R23" s="89"/>
    </row>
    <row r="24" spans="3:18" ht="19" x14ac:dyDescent="0.25">
      <c r="C24" s="42">
        <v>45876</v>
      </c>
      <c r="D24" s="129" t="s">
        <v>424</v>
      </c>
      <c r="E24" s="129"/>
      <c r="F24" s="40" t="s">
        <v>403</v>
      </c>
      <c r="G24" s="41">
        <v>0</v>
      </c>
      <c r="H24" s="41"/>
      <c r="I24" s="138" t="s">
        <v>457</v>
      </c>
      <c r="J24" s="139"/>
      <c r="K24" s="139"/>
      <c r="L24" s="140"/>
      <c r="N24" s="90"/>
      <c r="O24" s="90"/>
      <c r="P24" s="90"/>
      <c r="Q24" s="90"/>
      <c r="R24" s="90"/>
    </row>
    <row r="25" spans="3:18" ht="19" x14ac:dyDescent="0.25">
      <c r="C25" s="43">
        <v>45877</v>
      </c>
      <c r="D25" s="126" t="s">
        <v>355</v>
      </c>
      <c r="E25" s="126"/>
      <c r="F25" s="24" t="s">
        <v>171</v>
      </c>
      <c r="G25" s="25">
        <v>0</v>
      </c>
      <c r="H25" s="25"/>
      <c r="I25" s="123" t="s">
        <v>446</v>
      </c>
      <c r="J25" s="124"/>
      <c r="K25" s="124"/>
      <c r="L25" s="125"/>
      <c r="N25" s="81" t="s">
        <v>38</v>
      </c>
      <c r="O25" s="82"/>
      <c r="P25" s="82"/>
      <c r="Q25" s="82"/>
      <c r="R25" s="82"/>
    </row>
    <row r="26" spans="3:18" ht="19" x14ac:dyDescent="0.25">
      <c r="C26" s="43">
        <v>45877</v>
      </c>
      <c r="D26" s="126" t="s">
        <v>354</v>
      </c>
      <c r="E26" s="126"/>
      <c r="F26" s="24" t="s">
        <v>171</v>
      </c>
      <c r="G26" s="25">
        <v>0</v>
      </c>
      <c r="H26" s="25"/>
      <c r="I26" s="123" t="s">
        <v>446</v>
      </c>
      <c r="J26" s="124"/>
      <c r="K26" s="124"/>
      <c r="L26" s="125"/>
      <c r="N26" s="6" t="s">
        <v>20</v>
      </c>
      <c r="O26" s="6" t="s">
        <v>32</v>
      </c>
      <c r="P26" s="6" t="s">
        <v>4</v>
      </c>
      <c r="Q26" s="77" t="s">
        <v>7</v>
      </c>
      <c r="R26" s="88"/>
    </row>
    <row r="27" spans="3:18" ht="19" x14ac:dyDescent="0.25">
      <c r="C27" s="43">
        <v>45877</v>
      </c>
      <c r="D27" s="126" t="s">
        <v>163</v>
      </c>
      <c r="E27" s="126"/>
      <c r="F27" s="24" t="s">
        <v>171</v>
      </c>
      <c r="G27" s="25">
        <v>0</v>
      </c>
      <c r="H27" s="25"/>
      <c r="I27" s="123" t="s">
        <v>446</v>
      </c>
      <c r="J27" s="124"/>
      <c r="K27" s="124"/>
      <c r="L27" s="125"/>
      <c r="N27" s="13">
        <v>45874</v>
      </c>
      <c r="O27" s="3" t="s">
        <v>425</v>
      </c>
      <c r="P27" s="3">
        <v>27000</v>
      </c>
      <c r="Q27" s="84"/>
      <c r="R27" s="85"/>
    </row>
    <row r="28" spans="3:18" ht="19" x14ac:dyDescent="0.25">
      <c r="C28" s="43">
        <v>45877</v>
      </c>
      <c r="D28" s="126" t="s">
        <v>353</v>
      </c>
      <c r="E28" s="126"/>
      <c r="F28" s="24" t="s">
        <v>171</v>
      </c>
      <c r="G28" s="25">
        <v>0</v>
      </c>
      <c r="H28" s="25"/>
      <c r="I28" s="123" t="s">
        <v>446</v>
      </c>
      <c r="J28" s="124"/>
      <c r="K28" s="124"/>
      <c r="L28" s="125"/>
      <c r="N28" s="13">
        <v>45900</v>
      </c>
      <c r="O28" s="3" t="s">
        <v>426</v>
      </c>
      <c r="P28" s="3">
        <v>27979</v>
      </c>
      <c r="Q28" s="84"/>
      <c r="R28" s="85"/>
    </row>
    <row r="29" spans="3:18" ht="19" x14ac:dyDescent="0.25">
      <c r="C29" s="43">
        <v>45878</v>
      </c>
      <c r="D29" s="126" t="s">
        <v>383</v>
      </c>
      <c r="E29" s="126"/>
      <c r="F29" s="24" t="s">
        <v>171</v>
      </c>
      <c r="G29" s="25">
        <v>0</v>
      </c>
      <c r="H29" s="25"/>
      <c r="I29" s="123" t="s">
        <v>446</v>
      </c>
      <c r="J29" s="124"/>
      <c r="K29" s="124"/>
      <c r="L29" s="125"/>
      <c r="N29" s="3"/>
      <c r="O29" s="3"/>
      <c r="P29" s="5">
        <f>P27+P28</f>
        <v>54979</v>
      </c>
      <c r="Q29" s="84"/>
      <c r="R29" s="85"/>
    </row>
    <row r="30" spans="3:18" ht="19" x14ac:dyDescent="0.25">
      <c r="C30" s="43">
        <v>45878</v>
      </c>
      <c r="D30" s="126" t="s">
        <v>350</v>
      </c>
      <c r="E30" s="126"/>
      <c r="F30" s="24" t="s">
        <v>171</v>
      </c>
      <c r="G30" s="25">
        <v>0</v>
      </c>
      <c r="H30" s="25"/>
      <c r="I30" s="123" t="s">
        <v>222</v>
      </c>
      <c r="J30" s="124"/>
      <c r="K30" s="124"/>
      <c r="L30" s="125"/>
      <c r="N30" s="89"/>
      <c r="O30" s="89"/>
      <c r="P30" s="89"/>
      <c r="Q30" s="89"/>
      <c r="R30" s="89"/>
    </row>
    <row r="31" spans="3:18" ht="19" x14ac:dyDescent="0.25">
      <c r="C31" s="43">
        <v>45878</v>
      </c>
      <c r="D31" s="123" t="s">
        <v>182</v>
      </c>
      <c r="E31" s="125"/>
      <c r="F31" s="24" t="s">
        <v>171</v>
      </c>
      <c r="G31" s="25">
        <v>0</v>
      </c>
      <c r="H31" s="25"/>
      <c r="I31" s="123" t="s">
        <v>446</v>
      </c>
      <c r="J31" s="124"/>
      <c r="K31" s="124"/>
      <c r="L31" s="125"/>
      <c r="N31" s="90"/>
      <c r="O31" s="90"/>
      <c r="P31" s="90"/>
      <c r="Q31" s="90"/>
      <c r="R31" s="90"/>
    </row>
    <row r="32" spans="3:18" ht="19" x14ac:dyDescent="0.25">
      <c r="C32" s="43">
        <v>45878</v>
      </c>
      <c r="D32" s="126" t="s">
        <v>352</v>
      </c>
      <c r="E32" s="126"/>
      <c r="F32" s="24" t="s">
        <v>171</v>
      </c>
      <c r="G32" s="25">
        <v>0</v>
      </c>
      <c r="H32" s="25"/>
      <c r="I32" s="123" t="s">
        <v>446</v>
      </c>
      <c r="J32" s="124"/>
      <c r="K32" s="124"/>
      <c r="L32" s="125"/>
      <c r="M32" s="37"/>
      <c r="N32" s="97" t="s">
        <v>55</v>
      </c>
      <c r="O32" s="97"/>
      <c r="P32" s="97"/>
      <c r="Q32" s="97"/>
      <c r="R32" s="97"/>
    </row>
    <row r="33" spans="3:18" ht="19" x14ac:dyDescent="0.25">
      <c r="C33" s="43">
        <v>45879</v>
      </c>
      <c r="D33" s="126" t="s">
        <v>351</v>
      </c>
      <c r="E33" s="126"/>
      <c r="F33" s="24" t="s">
        <v>171</v>
      </c>
      <c r="G33" s="25">
        <v>0</v>
      </c>
      <c r="H33" s="25"/>
      <c r="I33" s="123" t="s">
        <v>222</v>
      </c>
      <c r="J33" s="124"/>
      <c r="K33" s="124"/>
      <c r="L33" s="125"/>
      <c r="N33" s="6" t="s">
        <v>90</v>
      </c>
      <c r="O33" s="6" t="s">
        <v>427</v>
      </c>
      <c r="P33" s="6" t="s">
        <v>56</v>
      </c>
      <c r="Q33" s="6" t="s">
        <v>37</v>
      </c>
      <c r="R33" s="6" t="s">
        <v>400</v>
      </c>
    </row>
    <row r="34" spans="3:18" ht="19" x14ac:dyDescent="0.25">
      <c r="C34" s="43">
        <v>45879</v>
      </c>
      <c r="D34" s="126" t="s">
        <v>183</v>
      </c>
      <c r="E34" s="126"/>
      <c r="F34" s="24" t="s">
        <v>171</v>
      </c>
      <c r="G34" s="25">
        <v>0</v>
      </c>
      <c r="H34" s="25"/>
      <c r="I34" s="123" t="s">
        <v>222</v>
      </c>
      <c r="J34" s="124"/>
      <c r="K34" s="124"/>
      <c r="L34" s="125"/>
      <c r="N34" s="3">
        <v>300</v>
      </c>
      <c r="O34" s="3"/>
      <c r="P34" s="3">
        <v>102.09</v>
      </c>
      <c r="Q34" s="5">
        <v>30629</v>
      </c>
      <c r="R34" s="5">
        <v>8215</v>
      </c>
    </row>
    <row r="35" spans="3:18" ht="19" x14ac:dyDescent="0.25">
      <c r="C35" s="43">
        <v>45880</v>
      </c>
      <c r="D35" s="126" t="s">
        <v>194</v>
      </c>
      <c r="E35" s="126"/>
      <c r="F35" s="24" t="s">
        <v>171</v>
      </c>
      <c r="G35" s="25">
        <v>95</v>
      </c>
      <c r="H35" s="25">
        <v>9660.4</v>
      </c>
      <c r="I35" s="123"/>
      <c r="J35" s="124"/>
      <c r="K35" s="124"/>
      <c r="L35" s="125"/>
    </row>
    <row r="36" spans="3:18" ht="19" x14ac:dyDescent="0.25">
      <c r="C36" s="43">
        <v>45881</v>
      </c>
      <c r="D36" s="126" t="s">
        <v>212</v>
      </c>
      <c r="E36" s="126"/>
      <c r="F36" s="24" t="s">
        <v>171</v>
      </c>
      <c r="G36" s="25">
        <v>0</v>
      </c>
      <c r="H36" s="25"/>
      <c r="I36" s="123" t="s">
        <v>222</v>
      </c>
      <c r="J36" s="124"/>
      <c r="K36" s="124"/>
      <c r="L36" s="125"/>
    </row>
    <row r="37" spans="3:18" ht="19" x14ac:dyDescent="0.25">
      <c r="C37" s="43">
        <v>45881</v>
      </c>
      <c r="D37" s="126" t="s">
        <v>357</v>
      </c>
      <c r="E37" s="126"/>
      <c r="F37" s="24" t="s">
        <v>171</v>
      </c>
      <c r="G37" s="25">
        <v>0</v>
      </c>
      <c r="H37" s="25"/>
      <c r="I37" s="123" t="s">
        <v>222</v>
      </c>
      <c r="J37" s="124"/>
      <c r="K37" s="124"/>
      <c r="L37" s="125"/>
      <c r="N37" s="118" t="s">
        <v>57</v>
      </c>
      <c r="O37" s="119"/>
      <c r="P37" s="119"/>
      <c r="Q37" s="119"/>
    </row>
    <row r="38" spans="3:18" ht="19" x14ac:dyDescent="0.25">
      <c r="C38" s="43">
        <v>45881</v>
      </c>
      <c r="D38" s="126" t="s">
        <v>356</v>
      </c>
      <c r="E38" s="126"/>
      <c r="F38" s="24" t="s">
        <v>171</v>
      </c>
      <c r="G38" s="25">
        <v>0</v>
      </c>
      <c r="H38" s="25"/>
      <c r="I38" s="123" t="s">
        <v>222</v>
      </c>
      <c r="J38" s="124"/>
      <c r="K38" s="124"/>
      <c r="L38" s="125"/>
      <c r="N38" s="6" t="s">
        <v>63</v>
      </c>
      <c r="O38" s="6" t="s">
        <v>53</v>
      </c>
      <c r="P38" s="6" t="s">
        <v>400</v>
      </c>
      <c r="Q38" s="6" t="s">
        <v>456</v>
      </c>
    </row>
    <row r="39" spans="3:18" ht="19" x14ac:dyDescent="0.25">
      <c r="C39" s="43">
        <v>45882</v>
      </c>
      <c r="D39" s="126" t="s">
        <v>178</v>
      </c>
      <c r="E39" s="126"/>
      <c r="F39" s="24" t="s">
        <v>171</v>
      </c>
      <c r="G39" s="25">
        <v>0</v>
      </c>
      <c r="H39" s="25"/>
      <c r="I39" s="123" t="s">
        <v>222</v>
      </c>
      <c r="J39" s="124"/>
      <c r="K39" s="124"/>
      <c r="L39" s="125"/>
      <c r="N39" s="5">
        <f>(F12+O22+G82+G110)*R3+O7+P29</f>
        <v>204376.2</v>
      </c>
      <c r="O39" s="5">
        <f>G12+O7+P29+P22+H82+H110+R34</f>
        <v>178907.33</v>
      </c>
      <c r="P39" s="5">
        <v>111952</v>
      </c>
      <c r="Q39" s="5">
        <f>P39+O39</f>
        <v>290859.32999999996</v>
      </c>
    </row>
    <row r="40" spans="3:18" ht="19" x14ac:dyDescent="0.25">
      <c r="C40" s="43">
        <v>45882</v>
      </c>
      <c r="D40" s="126" t="s">
        <v>179</v>
      </c>
      <c r="E40" s="126"/>
      <c r="F40" s="24" t="s">
        <v>171</v>
      </c>
      <c r="G40" s="25">
        <v>0</v>
      </c>
      <c r="H40" s="25"/>
      <c r="I40" s="123" t="s">
        <v>222</v>
      </c>
      <c r="J40" s="124"/>
      <c r="K40" s="124"/>
      <c r="L40" s="125"/>
    </row>
    <row r="41" spans="3:18" ht="19" x14ac:dyDescent="0.25">
      <c r="C41" s="43">
        <v>45882</v>
      </c>
      <c r="D41" s="126" t="s">
        <v>218</v>
      </c>
      <c r="E41" s="126"/>
      <c r="F41" s="24" t="s">
        <v>171</v>
      </c>
      <c r="G41" s="25">
        <v>0</v>
      </c>
      <c r="H41" s="25"/>
      <c r="I41" s="123" t="s">
        <v>222</v>
      </c>
      <c r="J41" s="124"/>
      <c r="K41" s="124"/>
      <c r="L41" s="125"/>
    </row>
    <row r="42" spans="3:18" ht="19" x14ac:dyDescent="0.25">
      <c r="C42" s="43">
        <v>45883</v>
      </c>
      <c r="D42" s="126" t="s">
        <v>181</v>
      </c>
      <c r="E42" s="126"/>
      <c r="F42" s="24" t="s">
        <v>172</v>
      </c>
      <c r="G42" s="25">
        <v>0</v>
      </c>
      <c r="H42" s="25"/>
      <c r="I42" s="123" t="s">
        <v>222</v>
      </c>
      <c r="J42" s="124"/>
      <c r="K42" s="124"/>
      <c r="L42" s="125"/>
    </row>
    <row r="43" spans="3:18" ht="19" x14ac:dyDescent="0.25">
      <c r="C43" s="43">
        <v>45883</v>
      </c>
      <c r="D43" s="126" t="s">
        <v>180</v>
      </c>
      <c r="E43" s="126"/>
      <c r="F43" s="24" t="s">
        <v>172</v>
      </c>
      <c r="G43" s="25">
        <v>18</v>
      </c>
      <c r="H43" s="25">
        <v>1830.7</v>
      </c>
      <c r="I43" s="123"/>
      <c r="J43" s="124"/>
      <c r="K43" s="124"/>
      <c r="L43" s="125"/>
    </row>
    <row r="44" spans="3:18" ht="19" x14ac:dyDescent="0.25">
      <c r="C44" s="44">
        <v>45884</v>
      </c>
      <c r="D44" s="126" t="s">
        <v>348</v>
      </c>
      <c r="E44" s="126"/>
      <c r="F44" s="24" t="s">
        <v>172</v>
      </c>
      <c r="G44" s="25">
        <v>0</v>
      </c>
      <c r="H44" s="25"/>
      <c r="I44" s="123" t="s">
        <v>222</v>
      </c>
      <c r="J44" s="124"/>
      <c r="K44" s="124"/>
      <c r="L44" s="125"/>
    </row>
    <row r="45" spans="3:18" ht="19" x14ac:dyDescent="0.25">
      <c r="C45" s="44">
        <v>45884</v>
      </c>
      <c r="D45" s="126" t="s">
        <v>347</v>
      </c>
      <c r="E45" s="126"/>
      <c r="F45" s="24" t="s">
        <v>172</v>
      </c>
      <c r="G45" s="25">
        <v>0</v>
      </c>
      <c r="H45" s="25"/>
      <c r="I45" s="123" t="s">
        <v>222</v>
      </c>
      <c r="J45" s="124"/>
      <c r="K45" s="124"/>
      <c r="L45" s="125"/>
    </row>
    <row r="46" spans="3:18" ht="19" x14ac:dyDescent="0.25">
      <c r="C46" s="44">
        <v>45884</v>
      </c>
      <c r="D46" s="126" t="s">
        <v>349</v>
      </c>
      <c r="E46" s="126"/>
      <c r="F46" s="24" t="s">
        <v>172</v>
      </c>
      <c r="G46" s="25">
        <v>0</v>
      </c>
      <c r="H46" s="25"/>
      <c r="I46" s="123" t="s">
        <v>222</v>
      </c>
      <c r="J46" s="124"/>
      <c r="K46" s="124"/>
      <c r="L46" s="125"/>
    </row>
    <row r="47" spans="3:18" ht="19" x14ac:dyDescent="0.25">
      <c r="C47" s="44">
        <v>45884</v>
      </c>
      <c r="D47" s="126" t="s">
        <v>229</v>
      </c>
      <c r="E47" s="126"/>
      <c r="F47" s="24" t="s">
        <v>172</v>
      </c>
      <c r="G47" s="25">
        <v>0</v>
      </c>
      <c r="H47" s="25"/>
      <c r="I47" s="123" t="s">
        <v>222</v>
      </c>
      <c r="J47" s="124"/>
      <c r="K47" s="124"/>
      <c r="L47" s="125"/>
    </row>
    <row r="48" spans="3:18" ht="19" x14ac:dyDescent="0.25">
      <c r="C48" s="44">
        <v>45884</v>
      </c>
      <c r="D48" s="126" t="s">
        <v>346</v>
      </c>
      <c r="E48" s="126"/>
      <c r="F48" s="24" t="s">
        <v>172</v>
      </c>
      <c r="G48" s="25">
        <v>0</v>
      </c>
      <c r="H48" s="25"/>
      <c r="I48" s="123" t="s">
        <v>222</v>
      </c>
      <c r="J48" s="124"/>
      <c r="K48" s="124"/>
      <c r="L48" s="125"/>
    </row>
    <row r="49" spans="3:12" ht="19" x14ac:dyDescent="0.25">
      <c r="C49" s="45">
        <v>45885</v>
      </c>
      <c r="D49" s="132" t="s">
        <v>192</v>
      </c>
      <c r="E49" s="132"/>
      <c r="F49" s="21" t="s">
        <v>173</v>
      </c>
      <c r="G49" s="22">
        <v>9</v>
      </c>
      <c r="H49" s="22"/>
      <c r="I49" s="134" t="s">
        <v>193</v>
      </c>
      <c r="J49" s="135"/>
      <c r="K49" s="135"/>
      <c r="L49" s="136"/>
    </row>
    <row r="50" spans="3:12" ht="19" x14ac:dyDescent="0.25">
      <c r="C50" s="45">
        <v>45885</v>
      </c>
      <c r="D50" s="132" t="s">
        <v>342</v>
      </c>
      <c r="E50" s="132"/>
      <c r="F50" s="21" t="s">
        <v>173</v>
      </c>
      <c r="G50" s="22">
        <v>20</v>
      </c>
      <c r="H50" s="22">
        <v>2033.77</v>
      </c>
      <c r="I50" s="134"/>
      <c r="J50" s="135"/>
      <c r="K50" s="135"/>
      <c r="L50" s="136"/>
    </row>
    <row r="51" spans="3:12" ht="19" x14ac:dyDescent="0.25">
      <c r="C51" s="45">
        <v>45886</v>
      </c>
      <c r="D51" s="132" t="s">
        <v>429</v>
      </c>
      <c r="E51" s="132"/>
      <c r="F51" s="21" t="s">
        <v>173</v>
      </c>
      <c r="G51" s="22">
        <v>8</v>
      </c>
      <c r="H51" s="22"/>
      <c r="I51" s="134"/>
      <c r="J51" s="135"/>
      <c r="K51" s="135"/>
      <c r="L51" s="136"/>
    </row>
    <row r="52" spans="3:12" ht="19" x14ac:dyDescent="0.25">
      <c r="C52" s="45">
        <v>45886</v>
      </c>
      <c r="D52" s="132" t="s">
        <v>430</v>
      </c>
      <c r="E52" s="132"/>
      <c r="F52" s="21" t="s">
        <v>173</v>
      </c>
      <c r="G52" s="22">
        <v>5</v>
      </c>
      <c r="H52" s="22"/>
      <c r="I52" s="134" t="s">
        <v>450</v>
      </c>
      <c r="J52" s="135"/>
      <c r="K52" s="135"/>
      <c r="L52" s="136"/>
    </row>
    <row r="53" spans="3:12" ht="19" x14ac:dyDescent="0.25">
      <c r="C53" s="45">
        <v>45886</v>
      </c>
      <c r="D53" s="132" t="s">
        <v>213</v>
      </c>
      <c r="E53" s="132"/>
      <c r="F53" s="21" t="s">
        <v>173</v>
      </c>
      <c r="G53" s="22">
        <v>15.72</v>
      </c>
      <c r="H53" s="22">
        <v>1598.8</v>
      </c>
      <c r="I53" s="134"/>
      <c r="J53" s="135"/>
      <c r="K53" s="135"/>
      <c r="L53" s="136"/>
    </row>
    <row r="54" spans="3:12" ht="19" x14ac:dyDescent="0.25">
      <c r="C54" s="45">
        <v>45887</v>
      </c>
      <c r="D54" s="132" t="s">
        <v>225</v>
      </c>
      <c r="E54" s="132"/>
      <c r="F54" s="21" t="s">
        <v>176</v>
      </c>
      <c r="G54" s="22">
        <v>6</v>
      </c>
      <c r="H54" s="22"/>
      <c r="I54" s="134"/>
      <c r="J54" s="135"/>
      <c r="K54" s="135"/>
      <c r="L54" s="136"/>
    </row>
    <row r="55" spans="3:12" ht="19" x14ac:dyDescent="0.25">
      <c r="C55" s="45">
        <v>45887</v>
      </c>
      <c r="D55" s="132" t="s">
        <v>345</v>
      </c>
      <c r="E55" s="132"/>
      <c r="F55" s="21" t="s">
        <v>176</v>
      </c>
      <c r="G55" s="22">
        <v>4.5</v>
      </c>
      <c r="H55" s="22"/>
      <c r="I55" s="134"/>
      <c r="J55" s="135"/>
      <c r="K55" s="135"/>
      <c r="L55" s="136"/>
    </row>
    <row r="56" spans="3:12" ht="19" x14ac:dyDescent="0.25">
      <c r="C56" s="45">
        <v>45887</v>
      </c>
      <c r="D56" s="132" t="s">
        <v>344</v>
      </c>
      <c r="E56" s="132"/>
      <c r="F56" s="21" t="s">
        <v>176</v>
      </c>
      <c r="G56" s="22">
        <v>14</v>
      </c>
      <c r="H56" s="22"/>
      <c r="I56" s="134" t="s">
        <v>452</v>
      </c>
      <c r="J56" s="135"/>
      <c r="K56" s="135"/>
      <c r="L56" s="136"/>
    </row>
    <row r="57" spans="3:12" ht="19" x14ac:dyDescent="0.25">
      <c r="C57" s="45">
        <v>45888</v>
      </c>
      <c r="D57" s="132" t="s">
        <v>226</v>
      </c>
      <c r="E57" s="132"/>
      <c r="F57" s="21" t="s">
        <v>177</v>
      </c>
      <c r="G57" s="22">
        <v>12</v>
      </c>
      <c r="H57" s="22"/>
      <c r="I57" s="134"/>
      <c r="J57" s="135"/>
      <c r="K57" s="135"/>
      <c r="L57" s="136"/>
    </row>
    <row r="58" spans="3:12" ht="19" x14ac:dyDescent="0.25">
      <c r="C58" s="45">
        <v>45888</v>
      </c>
      <c r="D58" s="132" t="s">
        <v>216</v>
      </c>
      <c r="E58" s="132"/>
      <c r="F58" s="21" t="s">
        <v>173</v>
      </c>
      <c r="G58" s="22">
        <v>12</v>
      </c>
      <c r="H58" s="22">
        <v>1221.33</v>
      </c>
      <c r="I58" s="134"/>
      <c r="J58" s="135"/>
      <c r="K58" s="135"/>
      <c r="L58" s="136"/>
    </row>
    <row r="59" spans="3:12" ht="19" x14ac:dyDescent="0.25">
      <c r="C59" s="45">
        <v>45890</v>
      </c>
      <c r="D59" s="132" t="s">
        <v>214</v>
      </c>
      <c r="E59" s="132"/>
      <c r="F59" s="21" t="s">
        <v>173</v>
      </c>
      <c r="G59" s="22">
        <v>8</v>
      </c>
      <c r="H59" s="22"/>
      <c r="I59" s="134"/>
      <c r="J59" s="135"/>
      <c r="K59" s="135"/>
      <c r="L59" s="136"/>
    </row>
    <row r="60" spans="3:12" ht="19" x14ac:dyDescent="0.25">
      <c r="C60" s="45">
        <v>45891</v>
      </c>
      <c r="D60" s="132" t="s">
        <v>211</v>
      </c>
      <c r="E60" s="132"/>
      <c r="F60" s="21" t="s">
        <v>173</v>
      </c>
      <c r="G60" s="22">
        <v>10</v>
      </c>
      <c r="H60" s="22"/>
      <c r="I60" s="134"/>
      <c r="J60" s="135"/>
      <c r="K60" s="135"/>
      <c r="L60" s="136"/>
    </row>
    <row r="61" spans="3:12" ht="19" x14ac:dyDescent="0.25">
      <c r="C61" s="45">
        <v>45891</v>
      </c>
      <c r="D61" s="132" t="s">
        <v>224</v>
      </c>
      <c r="E61" s="132"/>
      <c r="F61" s="21" t="s">
        <v>173</v>
      </c>
      <c r="G61" s="22">
        <v>5</v>
      </c>
      <c r="H61" s="22"/>
      <c r="I61" s="134"/>
      <c r="J61" s="135"/>
      <c r="K61" s="135"/>
      <c r="L61" s="136"/>
    </row>
    <row r="62" spans="3:12" ht="19" x14ac:dyDescent="0.25">
      <c r="C62" s="45">
        <v>45891</v>
      </c>
      <c r="D62" s="132" t="s">
        <v>212</v>
      </c>
      <c r="E62" s="132"/>
      <c r="F62" s="21" t="s">
        <v>173</v>
      </c>
      <c r="G62" s="22">
        <v>15.72</v>
      </c>
      <c r="H62" s="22">
        <v>1598.8</v>
      </c>
      <c r="I62" s="134"/>
      <c r="J62" s="135"/>
      <c r="K62" s="135"/>
      <c r="L62" s="136"/>
    </row>
    <row r="63" spans="3:12" ht="19" x14ac:dyDescent="0.25">
      <c r="C63" s="46">
        <v>45894</v>
      </c>
      <c r="D63" s="133" t="s">
        <v>431</v>
      </c>
      <c r="E63" s="133"/>
      <c r="F63" s="18" t="s">
        <v>175</v>
      </c>
      <c r="G63" s="19">
        <v>17</v>
      </c>
      <c r="H63" s="19"/>
      <c r="I63" s="130" t="s">
        <v>378</v>
      </c>
      <c r="J63" s="137"/>
      <c r="K63" s="137"/>
      <c r="L63" s="131"/>
    </row>
    <row r="64" spans="3:12" ht="19" x14ac:dyDescent="0.25">
      <c r="C64" s="46">
        <v>45894</v>
      </c>
      <c r="D64" s="133" t="s">
        <v>186</v>
      </c>
      <c r="E64" s="133"/>
      <c r="F64" s="18" t="s">
        <v>184</v>
      </c>
      <c r="G64" s="19">
        <v>12</v>
      </c>
      <c r="H64" s="19"/>
      <c r="I64" s="130"/>
      <c r="J64" s="137"/>
      <c r="K64" s="137"/>
      <c r="L64" s="131"/>
    </row>
    <row r="65" spans="3:12" ht="19" x14ac:dyDescent="0.25">
      <c r="C65" s="46">
        <v>45895</v>
      </c>
      <c r="D65" s="133" t="s">
        <v>340</v>
      </c>
      <c r="E65" s="133"/>
      <c r="F65" s="18" t="s">
        <v>185</v>
      </c>
      <c r="G65" s="19">
        <v>8</v>
      </c>
      <c r="H65" s="19"/>
      <c r="I65" s="130"/>
      <c r="J65" s="137"/>
      <c r="K65" s="137"/>
      <c r="L65" s="131"/>
    </row>
    <row r="66" spans="3:12" ht="19" x14ac:dyDescent="0.25">
      <c r="C66" s="46">
        <v>45895</v>
      </c>
      <c r="D66" s="133" t="s">
        <v>341</v>
      </c>
      <c r="E66" s="133"/>
      <c r="F66" s="18" t="s">
        <v>185</v>
      </c>
      <c r="G66" s="19">
        <v>4</v>
      </c>
      <c r="H66" s="19"/>
      <c r="I66" s="130"/>
      <c r="J66" s="137"/>
      <c r="K66" s="137"/>
      <c r="L66" s="131"/>
    </row>
    <row r="67" spans="3:12" ht="19" x14ac:dyDescent="0.25">
      <c r="C67" s="46">
        <v>45897</v>
      </c>
      <c r="D67" s="133" t="s">
        <v>339</v>
      </c>
      <c r="E67" s="133"/>
      <c r="F67" s="18" t="s">
        <v>175</v>
      </c>
      <c r="G67" s="19">
        <v>3.5</v>
      </c>
      <c r="H67" s="19"/>
      <c r="I67" s="130" t="s">
        <v>447</v>
      </c>
      <c r="J67" s="137"/>
      <c r="K67" s="137"/>
      <c r="L67" s="131"/>
    </row>
    <row r="68" spans="3:12" ht="19" x14ac:dyDescent="0.25">
      <c r="C68" s="46">
        <v>45897</v>
      </c>
      <c r="D68" s="133" t="s">
        <v>382</v>
      </c>
      <c r="E68" s="133"/>
      <c r="F68" s="18" t="s">
        <v>175</v>
      </c>
      <c r="G68" s="19">
        <v>0</v>
      </c>
      <c r="H68" s="19"/>
      <c r="I68" s="130" t="s">
        <v>447</v>
      </c>
      <c r="J68" s="137"/>
      <c r="K68" s="137"/>
      <c r="L68" s="131"/>
    </row>
    <row r="69" spans="3:12" ht="19" x14ac:dyDescent="0.25">
      <c r="C69" s="46">
        <v>45897</v>
      </c>
      <c r="D69" s="133" t="s">
        <v>206</v>
      </c>
      <c r="E69" s="133"/>
      <c r="F69" s="18" t="s">
        <v>175</v>
      </c>
      <c r="G69" s="19">
        <v>0</v>
      </c>
      <c r="H69" s="19"/>
      <c r="I69" s="130" t="s">
        <v>447</v>
      </c>
      <c r="J69" s="137"/>
      <c r="K69" s="137"/>
      <c r="L69" s="131"/>
    </row>
    <row r="70" spans="3:12" ht="19" x14ac:dyDescent="0.25">
      <c r="C70" s="46">
        <v>45897</v>
      </c>
      <c r="D70" s="133" t="s">
        <v>207</v>
      </c>
      <c r="E70" s="133"/>
      <c r="F70" s="18" t="s">
        <v>175</v>
      </c>
      <c r="G70" s="19">
        <v>10</v>
      </c>
      <c r="H70" s="19"/>
      <c r="I70" s="130" t="s">
        <v>447</v>
      </c>
      <c r="J70" s="137"/>
      <c r="K70" s="137"/>
      <c r="L70" s="131"/>
    </row>
    <row r="71" spans="3:12" ht="19" x14ac:dyDescent="0.25">
      <c r="C71" s="46">
        <v>45897</v>
      </c>
      <c r="D71" s="133" t="s">
        <v>380</v>
      </c>
      <c r="E71" s="133"/>
      <c r="F71" s="18" t="s">
        <v>175</v>
      </c>
      <c r="G71" s="19">
        <v>0</v>
      </c>
      <c r="H71" s="19"/>
      <c r="I71" s="130" t="s">
        <v>447</v>
      </c>
      <c r="J71" s="137"/>
      <c r="K71" s="137"/>
      <c r="L71" s="131"/>
    </row>
    <row r="72" spans="3:12" ht="19" x14ac:dyDescent="0.25">
      <c r="C72" s="46">
        <v>45898</v>
      </c>
      <c r="D72" s="133" t="s">
        <v>200</v>
      </c>
      <c r="E72" s="133"/>
      <c r="F72" s="18" t="s">
        <v>175</v>
      </c>
      <c r="G72" s="19">
        <v>0</v>
      </c>
      <c r="H72" s="19"/>
      <c r="I72" s="130" t="s">
        <v>447</v>
      </c>
      <c r="J72" s="137"/>
      <c r="K72" s="137"/>
      <c r="L72" s="131"/>
    </row>
    <row r="73" spans="3:12" ht="19" x14ac:dyDescent="0.25">
      <c r="C73" s="46">
        <v>45898</v>
      </c>
      <c r="D73" s="133" t="s">
        <v>433</v>
      </c>
      <c r="E73" s="133"/>
      <c r="F73" s="18" t="s">
        <v>175</v>
      </c>
      <c r="G73" s="19">
        <v>0</v>
      </c>
      <c r="H73" s="19"/>
      <c r="I73" s="130" t="s">
        <v>447</v>
      </c>
      <c r="J73" s="137"/>
      <c r="K73" s="137"/>
      <c r="L73" s="131"/>
    </row>
    <row r="74" spans="3:12" ht="19" x14ac:dyDescent="0.25">
      <c r="C74" s="46">
        <v>45898</v>
      </c>
      <c r="D74" s="133" t="s">
        <v>453</v>
      </c>
      <c r="E74" s="133"/>
      <c r="F74" s="18" t="s">
        <v>175</v>
      </c>
      <c r="G74" s="19">
        <v>0</v>
      </c>
      <c r="H74" s="19"/>
      <c r="I74" s="130" t="s">
        <v>447</v>
      </c>
      <c r="J74" s="137"/>
      <c r="K74" s="137"/>
      <c r="L74" s="131"/>
    </row>
    <row r="75" spans="3:12" ht="19" x14ac:dyDescent="0.25">
      <c r="C75" s="46">
        <v>45898</v>
      </c>
      <c r="D75" s="133" t="s">
        <v>381</v>
      </c>
      <c r="E75" s="133"/>
      <c r="F75" s="18" t="s">
        <v>175</v>
      </c>
      <c r="G75" s="19">
        <v>0</v>
      </c>
      <c r="H75" s="19"/>
      <c r="I75" s="130" t="s">
        <v>447</v>
      </c>
      <c r="J75" s="137"/>
      <c r="K75" s="137"/>
      <c r="L75" s="131"/>
    </row>
    <row r="76" spans="3:12" ht="19" x14ac:dyDescent="0.25">
      <c r="C76" s="46">
        <v>45898</v>
      </c>
      <c r="D76" s="133" t="s">
        <v>202</v>
      </c>
      <c r="E76" s="133"/>
      <c r="F76" s="18" t="s">
        <v>175</v>
      </c>
      <c r="G76" s="19">
        <v>0</v>
      </c>
      <c r="H76" s="19"/>
      <c r="I76" s="130" t="s">
        <v>447</v>
      </c>
      <c r="J76" s="137"/>
      <c r="K76" s="137"/>
      <c r="L76" s="131"/>
    </row>
    <row r="77" spans="3:12" ht="19" x14ac:dyDescent="0.25">
      <c r="C77" s="46">
        <v>45898</v>
      </c>
      <c r="D77" s="130" t="s">
        <v>432</v>
      </c>
      <c r="E77" s="131"/>
      <c r="F77" s="18" t="s">
        <v>175</v>
      </c>
      <c r="G77" s="19">
        <v>0</v>
      </c>
      <c r="H77" s="19"/>
      <c r="I77" s="130" t="s">
        <v>447</v>
      </c>
      <c r="J77" s="137"/>
      <c r="K77" s="137"/>
      <c r="L77" s="131"/>
    </row>
    <row r="78" spans="3:12" ht="19" x14ac:dyDescent="0.25">
      <c r="C78" s="46">
        <v>45899</v>
      </c>
      <c r="D78" s="130" t="s">
        <v>454</v>
      </c>
      <c r="E78" s="131"/>
      <c r="F78" s="18" t="s">
        <v>175</v>
      </c>
      <c r="G78" s="19">
        <v>0</v>
      </c>
      <c r="H78" s="19"/>
      <c r="I78" s="28" t="s">
        <v>447</v>
      </c>
      <c r="J78" s="29"/>
      <c r="K78" s="29"/>
      <c r="L78" s="30"/>
    </row>
    <row r="79" spans="3:12" ht="19" x14ac:dyDescent="0.25">
      <c r="C79" s="46">
        <v>45899</v>
      </c>
      <c r="D79" s="133" t="s">
        <v>228</v>
      </c>
      <c r="E79" s="133"/>
      <c r="F79" s="18" t="s">
        <v>175</v>
      </c>
      <c r="G79" s="19">
        <v>5</v>
      </c>
      <c r="H79" s="19"/>
      <c r="I79" s="130" t="s">
        <v>447</v>
      </c>
      <c r="J79" s="137"/>
      <c r="K79" s="137"/>
      <c r="L79" s="131"/>
    </row>
    <row r="80" spans="3:12" ht="19" x14ac:dyDescent="0.25">
      <c r="C80" s="46">
        <v>45899</v>
      </c>
      <c r="D80" s="133" t="s">
        <v>379</v>
      </c>
      <c r="E80" s="133"/>
      <c r="F80" s="18" t="s">
        <v>175</v>
      </c>
      <c r="G80" s="19">
        <v>0</v>
      </c>
      <c r="H80" s="19"/>
      <c r="I80" s="130" t="s">
        <v>447</v>
      </c>
      <c r="J80" s="137"/>
      <c r="K80" s="137"/>
      <c r="L80" s="131"/>
    </row>
    <row r="81" spans="3:12" ht="19" x14ac:dyDescent="0.25">
      <c r="C81" s="1"/>
      <c r="D81" s="74"/>
      <c r="E81" s="74"/>
      <c r="F81" s="3"/>
      <c r="G81" s="4"/>
      <c r="H81" s="4"/>
      <c r="I81" s="113"/>
      <c r="J81" s="114"/>
      <c r="K81" s="114"/>
      <c r="L81" s="115"/>
    </row>
    <row r="82" spans="3:12" ht="19" x14ac:dyDescent="0.25">
      <c r="C82" s="1"/>
      <c r="D82" s="74"/>
      <c r="E82" s="74"/>
      <c r="F82" s="14"/>
      <c r="G82" s="4">
        <f>SUM(G17:G80)</f>
        <v>322.44</v>
      </c>
      <c r="H82" s="5">
        <f>SUM(H17:H80)</f>
        <v>18452.240000000002</v>
      </c>
      <c r="I82" s="93"/>
      <c r="J82" s="94"/>
      <c r="K82" s="94"/>
      <c r="L82" s="108"/>
    </row>
    <row r="83" spans="3:12" x14ac:dyDescent="0.2">
      <c r="C83" s="89"/>
      <c r="D83" s="89"/>
      <c r="E83" s="89"/>
      <c r="F83" s="89"/>
      <c r="G83" s="89"/>
      <c r="H83" s="89"/>
      <c r="I83" s="89"/>
      <c r="J83" s="89"/>
      <c r="K83" s="89"/>
      <c r="L83" s="89"/>
    </row>
    <row r="84" spans="3:12" x14ac:dyDescent="0.2">
      <c r="C84" s="90"/>
      <c r="D84" s="90"/>
      <c r="E84" s="90"/>
      <c r="F84" s="90"/>
      <c r="G84" s="90"/>
      <c r="H84" s="90"/>
      <c r="I84" s="90"/>
      <c r="J84" s="90"/>
      <c r="K84" s="90"/>
      <c r="L84" s="90"/>
    </row>
    <row r="85" spans="3:12" ht="19" x14ac:dyDescent="0.25">
      <c r="C85" s="81" t="s">
        <v>33</v>
      </c>
      <c r="D85" s="82"/>
      <c r="E85" s="82"/>
      <c r="F85" s="82"/>
      <c r="G85" s="82"/>
      <c r="H85" s="82"/>
      <c r="I85" s="82"/>
      <c r="J85" s="82"/>
      <c r="K85" s="82"/>
      <c r="L85" s="83"/>
    </row>
    <row r="86" spans="3:12" ht="19" x14ac:dyDescent="0.25">
      <c r="C86" s="6" t="s">
        <v>20</v>
      </c>
      <c r="D86" s="6" t="s">
        <v>65</v>
      </c>
      <c r="E86" s="6" t="s">
        <v>66</v>
      </c>
      <c r="F86" s="6" t="s">
        <v>196</v>
      </c>
      <c r="G86" s="6" t="s">
        <v>230</v>
      </c>
      <c r="H86" s="6" t="s">
        <v>53</v>
      </c>
      <c r="I86" s="6" t="s">
        <v>195</v>
      </c>
      <c r="J86" s="76" t="s">
        <v>7</v>
      </c>
      <c r="K86" s="76"/>
      <c r="L86" s="76"/>
    </row>
    <row r="87" spans="3:12" ht="19" x14ac:dyDescent="0.25">
      <c r="C87" s="39">
        <v>45877</v>
      </c>
      <c r="D87" s="40" t="s">
        <v>403</v>
      </c>
      <c r="E87" s="24" t="s">
        <v>171</v>
      </c>
      <c r="F87" s="40" t="s">
        <v>191</v>
      </c>
      <c r="G87" s="40">
        <v>30</v>
      </c>
      <c r="H87" s="40">
        <v>3065</v>
      </c>
      <c r="I87" s="40" t="s">
        <v>428</v>
      </c>
      <c r="J87" s="129" t="s">
        <v>439</v>
      </c>
      <c r="K87" s="129"/>
      <c r="L87" s="129"/>
    </row>
    <row r="88" spans="3:12" ht="19" x14ac:dyDescent="0.25">
      <c r="C88" s="23">
        <v>45883</v>
      </c>
      <c r="D88" s="24" t="s">
        <v>171</v>
      </c>
      <c r="E88" s="24" t="s">
        <v>172</v>
      </c>
      <c r="F88" s="24" t="s">
        <v>219</v>
      </c>
      <c r="G88" s="24">
        <v>12</v>
      </c>
      <c r="H88" s="24">
        <v>1220</v>
      </c>
      <c r="I88" s="24"/>
      <c r="J88" s="126"/>
      <c r="K88" s="126"/>
      <c r="L88" s="126"/>
    </row>
    <row r="89" spans="3:12" ht="19" x14ac:dyDescent="0.25">
      <c r="C89" s="23">
        <v>45885</v>
      </c>
      <c r="D89" s="24" t="s">
        <v>172</v>
      </c>
      <c r="E89" s="21" t="s">
        <v>173</v>
      </c>
      <c r="F89" s="24" t="s">
        <v>190</v>
      </c>
      <c r="G89" s="24">
        <v>19</v>
      </c>
      <c r="H89" s="24">
        <v>1914</v>
      </c>
      <c r="I89" s="24"/>
      <c r="J89" s="126" t="s">
        <v>438</v>
      </c>
      <c r="K89" s="126"/>
      <c r="L89" s="126"/>
    </row>
    <row r="90" spans="3:12" ht="19" x14ac:dyDescent="0.25">
      <c r="C90" s="20">
        <v>45887</v>
      </c>
      <c r="D90" s="21" t="s">
        <v>173</v>
      </c>
      <c r="E90" s="21" t="s">
        <v>451</v>
      </c>
      <c r="F90" s="21" t="s">
        <v>190</v>
      </c>
      <c r="G90" s="21">
        <v>2.7</v>
      </c>
      <c r="H90" s="21"/>
      <c r="I90" s="21"/>
      <c r="J90" s="132"/>
      <c r="K90" s="132"/>
      <c r="L90" s="132"/>
    </row>
    <row r="91" spans="3:12" ht="19" x14ac:dyDescent="0.25">
      <c r="C91" s="20">
        <v>45887</v>
      </c>
      <c r="D91" s="21" t="s">
        <v>176</v>
      </c>
      <c r="E91" s="21" t="s">
        <v>173</v>
      </c>
      <c r="F91" s="21" t="s">
        <v>219</v>
      </c>
      <c r="G91" s="21">
        <v>2.5</v>
      </c>
      <c r="H91" s="21"/>
      <c r="I91" s="21"/>
      <c r="J91" s="132"/>
      <c r="K91" s="132"/>
      <c r="L91" s="132"/>
    </row>
    <row r="92" spans="3:12" ht="19" x14ac:dyDescent="0.25">
      <c r="C92" s="20">
        <v>45888</v>
      </c>
      <c r="D92" s="21" t="s">
        <v>173</v>
      </c>
      <c r="E92" s="21" t="s">
        <v>177</v>
      </c>
      <c r="F92" s="21" t="s">
        <v>190</v>
      </c>
      <c r="G92" s="21">
        <v>4.8</v>
      </c>
      <c r="H92" s="21"/>
      <c r="I92" s="21"/>
      <c r="J92" s="132"/>
      <c r="K92" s="132"/>
      <c r="L92" s="132"/>
    </row>
    <row r="93" spans="3:12" ht="19" x14ac:dyDescent="0.25">
      <c r="C93" s="20">
        <v>45888</v>
      </c>
      <c r="D93" s="21" t="s">
        <v>177</v>
      </c>
      <c r="E93" s="21" t="s">
        <v>173</v>
      </c>
      <c r="F93" s="21" t="s">
        <v>190</v>
      </c>
      <c r="G93" s="21">
        <v>4.8</v>
      </c>
      <c r="H93" s="21"/>
      <c r="I93" s="21"/>
      <c r="J93" s="132"/>
      <c r="K93" s="132"/>
      <c r="L93" s="132"/>
    </row>
    <row r="94" spans="3:12" ht="19" x14ac:dyDescent="0.25">
      <c r="C94" s="47">
        <v>45889</v>
      </c>
      <c r="D94" s="21" t="s">
        <v>173</v>
      </c>
      <c r="E94" s="21" t="s">
        <v>343</v>
      </c>
      <c r="F94" s="21" t="s">
        <v>190</v>
      </c>
      <c r="G94" s="21">
        <v>8</v>
      </c>
      <c r="H94" s="21"/>
      <c r="I94" s="21"/>
      <c r="J94" s="132"/>
      <c r="K94" s="132"/>
      <c r="L94" s="132"/>
    </row>
    <row r="95" spans="3:12" ht="19" x14ac:dyDescent="0.25">
      <c r="C95" s="47">
        <v>45889</v>
      </c>
      <c r="D95" s="21" t="s">
        <v>343</v>
      </c>
      <c r="E95" s="21" t="s">
        <v>173</v>
      </c>
      <c r="F95" s="21" t="s">
        <v>190</v>
      </c>
      <c r="G95" s="21">
        <v>8</v>
      </c>
      <c r="H95" s="21"/>
      <c r="I95" s="21"/>
      <c r="J95" s="132"/>
      <c r="K95" s="132"/>
      <c r="L95" s="132"/>
    </row>
    <row r="96" spans="3:12" ht="19" x14ac:dyDescent="0.25">
      <c r="C96" s="17">
        <v>45892</v>
      </c>
      <c r="D96" s="21" t="s">
        <v>173</v>
      </c>
      <c r="E96" s="18" t="s">
        <v>174</v>
      </c>
      <c r="F96" s="18" t="s">
        <v>190</v>
      </c>
      <c r="G96" s="18">
        <v>11</v>
      </c>
      <c r="H96" s="18">
        <v>1108</v>
      </c>
      <c r="I96" s="18" t="s">
        <v>227</v>
      </c>
      <c r="J96" s="133" t="s">
        <v>438</v>
      </c>
      <c r="K96" s="133"/>
      <c r="L96" s="133"/>
    </row>
    <row r="97" spans="3:12" ht="19" x14ac:dyDescent="0.25">
      <c r="C97" s="17">
        <v>45892</v>
      </c>
      <c r="D97" s="18" t="s">
        <v>174</v>
      </c>
      <c r="E97" s="18" t="s">
        <v>437</v>
      </c>
      <c r="F97" s="18" t="s">
        <v>190</v>
      </c>
      <c r="G97" s="18">
        <v>3</v>
      </c>
      <c r="H97" s="18"/>
      <c r="I97" s="18"/>
      <c r="J97" s="133"/>
      <c r="K97" s="133"/>
      <c r="L97" s="133"/>
    </row>
    <row r="98" spans="3:12" ht="19" x14ac:dyDescent="0.25">
      <c r="C98" s="17">
        <v>45892</v>
      </c>
      <c r="D98" s="18" t="s">
        <v>437</v>
      </c>
      <c r="E98" s="18" t="s">
        <v>174</v>
      </c>
      <c r="F98" s="18" t="s">
        <v>190</v>
      </c>
      <c r="G98" s="18">
        <v>3.2</v>
      </c>
      <c r="H98" s="18"/>
      <c r="I98" s="18"/>
      <c r="J98" s="133"/>
      <c r="K98" s="133"/>
      <c r="L98" s="133"/>
    </row>
    <row r="99" spans="3:12" ht="19" x14ac:dyDescent="0.25">
      <c r="C99" s="17">
        <v>45893</v>
      </c>
      <c r="D99" s="18" t="s">
        <v>174</v>
      </c>
      <c r="E99" s="18" t="s">
        <v>187</v>
      </c>
      <c r="F99" s="18" t="s">
        <v>191</v>
      </c>
      <c r="G99" s="18">
        <v>1.5</v>
      </c>
      <c r="H99" s="18"/>
      <c r="I99" s="18"/>
      <c r="J99" s="133"/>
      <c r="K99" s="133"/>
      <c r="L99" s="133"/>
    </row>
    <row r="100" spans="3:12" ht="19" x14ac:dyDescent="0.25">
      <c r="C100" s="17">
        <v>45893</v>
      </c>
      <c r="D100" s="18" t="s">
        <v>187</v>
      </c>
      <c r="E100" s="18" t="s">
        <v>188</v>
      </c>
      <c r="F100" s="18" t="s">
        <v>190</v>
      </c>
      <c r="G100" s="18">
        <v>6</v>
      </c>
      <c r="H100" s="18"/>
      <c r="I100" s="18"/>
      <c r="J100" s="133"/>
      <c r="K100" s="133"/>
      <c r="L100" s="133"/>
    </row>
    <row r="101" spans="3:12" ht="19" x14ac:dyDescent="0.25">
      <c r="C101" s="17">
        <v>45893</v>
      </c>
      <c r="D101" s="18" t="s">
        <v>188</v>
      </c>
      <c r="E101" s="18" t="s">
        <v>187</v>
      </c>
      <c r="F101" s="18" t="s">
        <v>221</v>
      </c>
      <c r="G101" s="18">
        <v>15</v>
      </c>
      <c r="H101" s="18"/>
      <c r="I101" s="18"/>
      <c r="J101" s="130" t="s">
        <v>189</v>
      </c>
      <c r="K101" s="137"/>
      <c r="L101" s="131"/>
    </row>
    <row r="102" spans="3:12" ht="19" x14ac:dyDescent="0.25">
      <c r="C102" s="17">
        <v>45893</v>
      </c>
      <c r="D102" s="18" t="s">
        <v>187</v>
      </c>
      <c r="E102" s="18" t="s">
        <v>174</v>
      </c>
      <c r="F102" s="18" t="s">
        <v>191</v>
      </c>
      <c r="G102" s="18">
        <v>1.5</v>
      </c>
      <c r="H102" s="18"/>
      <c r="I102" s="18"/>
      <c r="J102" s="133"/>
      <c r="K102" s="133"/>
      <c r="L102" s="133"/>
    </row>
    <row r="103" spans="3:12" ht="19" x14ac:dyDescent="0.25">
      <c r="C103" s="17">
        <v>45893</v>
      </c>
      <c r="D103" s="18" t="s">
        <v>174</v>
      </c>
      <c r="E103" s="18" t="s">
        <v>175</v>
      </c>
      <c r="F103" s="18" t="s">
        <v>190</v>
      </c>
      <c r="G103" s="18">
        <v>25</v>
      </c>
      <c r="H103" s="18">
        <v>2542</v>
      </c>
      <c r="I103" s="18"/>
      <c r="J103" s="133"/>
      <c r="K103" s="133"/>
      <c r="L103" s="133"/>
    </row>
    <row r="104" spans="3:12" ht="19" x14ac:dyDescent="0.25">
      <c r="C104" s="17">
        <v>45894</v>
      </c>
      <c r="D104" s="18" t="s">
        <v>175</v>
      </c>
      <c r="E104" s="18" t="s">
        <v>184</v>
      </c>
      <c r="F104" s="18" t="s">
        <v>190</v>
      </c>
      <c r="G104" s="18">
        <v>2.6</v>
      </c>
      <c r="H104" s="18"/>
      <c r="I104" s="18"/>
      <c r="J104" s="133"/>
      <c r="K104" s="133"/>
      <c r="L104" s="133"/>
    </row>
    <row r="105" spans="3:12" ht="19" x14ac:dyDescent="0.25">
      <c r="C105" s="17">
        <v>45894</v>
      </c>
      <c r="D105" s="18" t="s">
        <v>184</v>
      </c>
      <c r="E105" s="18" t="s">
        <v>175</v>
      </c>
      <c r="F105" s="18" t="s">
        <v>190</v>
      </c>
      <c r="G105" s="18">
        <v>2.6</v>
      </c>
      <c r="H105" s="18"/>
      <c r="I105" s="18"/>
      <c r="J105" s="133"/>
      <c r="K105" s="133"/>
      <c r="L105" s="133"/>
    </row>
    <row r="106" spans="3:12" ht="19" x14ac:dyDescent="0.25">
      <c r="C106" s="17">
        <v>45895</v>
      </c>
      <c r="D106" s="18" t="s">
        <v>175</v>
      </c>
      <c r="E106" s="18" t="s">
        <v>185</v>
      </c>
      <c r="F106" s="18" t="s">
        <v>219</v>
      </c>
      <c r="G106" s="18">
        <v>6.3</v>
      </c>
      <c r="H106" s="18">
        <v>640.64</v>
      </c>
      <c r="I106" s="18"/>
      <c r="J106" s="133"/>
      <c r="K106" s="133"/>
      <c r="L106" s="133"/>
    </row>
    <row r="107" spans="3:12" ht="19" x14ac:dyDescent="0.25">
      <c r="C107" s="17">
        <v>45895</v>
      </c>
      <c r="D107" s="18" t="s">
        <v>175</v>
      </c>
      <c r="E107" s="18" t="s">
        <v>185</v>
      </c>
      <c r="F107" s="18" t="s">
        <v>219</v>
      </c>
      <c r="G107" s="18">
        <v>9.6</v>
      </c>
      <c r="H107" s="18"/>
      <c r="I107" s="18"/>
      <c r="J107" s="133"/>
      <c r="K107" s="133"/>
      <c r="L107" s="133"/>
    </row>
    <row r="108" spans="3:12" ht="19" x14ac:dyDescent="0.25">
      <c r="C108" s="17">
        <v>45895</v>
      </c>
      <c r="D108" s="18" t="s">
        <v>185</v>
      </c>
      <c r="E108" s="18" t="s">
        <v>175</v>
      </c>
      <c r="F108" s="18" t="s">
        <v>219</v>
      </c>
      <c r="G108" s="18">
        <v>6.82</v>
      </c>
      <c r="H108" s="18">
        <v>693.52</v>
      </c>
      <c r="I108" s="18"/>
      <c r="J108" s="133"/>
      <c r="K108" s="133"/>
      <c r="L108" s="133"/>
    </row>
    <row r="109" spans="3:12" x14ac:dyDescent="0.2">
      <c r="C109" s="1"/>
      <c r="D109" s="1"/>
      <c r="E109" s="1"/>
      <c r="F109" s="1"/>
      <c r="G109" s="1"/>
      <c r="H109" s="1"/>
      <c r="I109" s="1"/>
      <c r="J109" s="74"/>
      <c r="K109" s="74"/>
      <c r="L109" s="74"/>
    </row>
    <row r="110" spans="3:12" ht="19" x14ac:dyDescent="0.25">
      <c r="C110" s="13"/>
      <c r="D110" s="3"/>
      <c r="E110" s="1"/>
      <c r="F110" s="3"/>
      <c r="G110" s="26">
        <f>SUM(G87:G108)</f>
        <v>185.92</v>
      </c>
      <c r="H110" s="5">
        <f>SUM(H87:H108)</f>
        <v>11183.16</v>
      </c>
      <c r="I110" s="3"/>
      <c r="J110" s="75"/>
      <c r="K110" s="75"/>
      <c r="L110" s="75"/>
    </row>
    <row r="111" spans="3:12" x14ac:dyDescent="0.2">
      <c r="D111" s="38"/>
      <c r="E111" s="38"/>
      <c r="F111" s="38"/>
      <c r="G111" s="38"/>
      <c r="H111" s="38"/>
      <c r="I111" s="38"/>
      <c r="J111" s="38"/>
      <c r="K111" s="38"/>
      <c r="L111" s="38"/>
    </row>
  </sheetData>
  <mergeCells count="195">
    <mergeCell ref="J109:L109"/>
    <mergeCell ref="J110:L110"/>
    <mergeCell ref="I82:L82"/>
    <mergeCell ref="J105:L105"/>
    <mergeCell ref="J90:L90"/>
    <mergeCell ref="J92:L92"/>
    <mergeCell ref="J88:L88"/>
    <mergeCell ref="J99:L99"/>
    <mergeCell ref="J91:L91"/>
    <mergeCell ref="J107:L107"/>
    <mergeCell ref="J102:L102"/>
    <mergeCell ref="J93:L93"/>
    <mergeCell ref="J106:L106"/>
    <mergeCell ref="J100:L100"/>
    <mergeCell ref="J103:L103"/>
    <mergeCell ref="J101:L101"/>
    <mergeCell ref="J97:L97"/>
    <mergeCell ref="J98:L98"/>
    <mergeCell ref="J89:L89"/>
    <mergeCell ref="J94:L94"/>
    <mergeCell ref="J95:L95"/>
    <mergeCell ref="J96:L96"/>
    <mergeCell ref="I20:L20"/>
    <mergeCell ref="Q18:R18"/>
    <mergeCell ref="I16:L16"/>
    <mergeCell ref="Q22:R22"/>
    <mergeCell ref="N23:R24"/>
    <mergeCell ref="I32:L32"/>
    <mergeCell ref="J108:L108"/>
    <mergeCell ref="I51:L51"/>
    <mergeCell ref="J104:L104"/>
    <mergeCell ref="I59:L59"/>
    <mergeCell ref="I58:L58"/>
    <mergeCell ref="I67:L67"/>
    <mergeCell ref="I77:L77"/>
    <mergeCell ref="I60:L60"/>
    <mergeCell ref="I69:L69"/>
    <mergeCell ref="I70:L70"/>
    <mergeCell ref="I71:L71"/>
    <mergeCell ref="I75:L75"/>
    <mergeCell ref="J86:L86"/>
    <mergeCell ref="N25:R25"/>
    <mergeCell ref="Q26:R26"/>
    <mergeCell ref="Q27:R27"/>
    <mergeCell ref="Q28:R28"/>
    <mergeCell ref="Q29:R29"/>
    <mergeCell ref="N32:R32"/>
    <mergeCell ref="N30:R31"/>
    <mergeCell ref="I81:L81"/>
    <mergeCell ref="I57:L57"/>
    <mergeCell ref="D82:E82"/>
    <mergeCell ref="D81:E81"/>
    <mergeCell ref="I61:L61"/>
    <mergeCell ref="I50:L50"/>
    <mergeCell ref="J87:L87"/>
    <mergeCell ref="I79:L79"/>
    <mergeCell ref="I80:L80"/>
    <mergeCell ref="I76:L76"/>
    <mergeCell ref="I72:L72"/>
    <mergeCell ref="I73:L73"/>
    <mergeCell ref="D79:E79"/>
    <mergeCell ref="D61:E61"/>
    <mergeCell ref="D50:E50"/>
    <mergeCell ref="D54:E54"/>
    <mergeCell ref="D55:E55"/>
    <mergeCell ref="D56:E56"/>
    <mergeCell ref="D74:E74"/>
    <mergeCell ref="C83:L84"/>
    <mergeCell ref="C85:L85"/>
    <mergeCell ref="D80:E80"/>
    <mergeCell ref="I42:L42"/>
    <mergeCell ref="I44:L44"/>
    <mergeCell ref="I54:L54"/>
    <mergeCell ref="I55:L55"/>
    <mergeCell ref="I56:L56"/>
    <mergeCell ref="D75:E75"/>
    <mergeCell ref="D68:E68"/>
    <mergeCell ref="D71:E71"/>
    <mergeCell ref="D63:E63"/>
    <mergeCell ref="I68:L68"/>
    <mergeCell ref="I74:L74"/>
    <mergeCell ref="I62:L62"/>
    <mergeCell ref="I65:L65"/>
    <mergeCell ref="I66:L66"/>
    <mergeCell ref="I64:L64"/>
    <mergeCell ref="N2:P2"/>
    <mergeCell ref="B2:L2"/>
    <mergeCell ref="N8:P9"/>
    <mergeCell ref="D48:E48"/>
    <mergeCell ref="D47:E47"/>
    <mergeCell ref="D43:E43"/>
    <mergeCell ref="D16:E16"/>
    <mergeCell ref="I17:L17"/>
    <mergeCell ref="I18:L18"/>
    <mergeCell ref="I19:L19"/>
    <mergeCell ref="D23:E23"/>
    <mergeCell ref="D24:E24"/>
    <mergeCell ref="D42:E42"/>
    <mergeCell ref="D44:E44"/>
    <mergeCell ref="D45:E45"/>
    <mergeCell ref="D32:E32"/>
    <mergeCell ref="D41:E41"/>
    <mergeCell ref="D46:E46"/>
    <mergeCell ref="N10:R10"/>
    <mergeCell ref="Q11:R11"/>
    <mergeCell ref="Q12:R12"/>
    <mergeCell ref="Q16:R16"/>
    <mergeCell ref="Q21:R21"/>
    <mergeCell ref="I22:L22"/>
    <mergeCell ref="D25:E25"/>
    <mergeCell ref="I21:L21"/>
    <mergeCell ref="D21:E21"/>
    <mergeCell ref="D22:E22"/>
    <mergeCell ref="I35:L35"/>
    <mergeCell ref="I30:L30"/>
    <mergeCell ref="I36:L36"/>
    <mergeCell ref="I33:L33"/>
    <mergeCell ref="D39:E39"/>
    <mergeCell ref="D29:E29"/>
    <mergeCell ref="I37:L37"/>
    <mergeCell ref="I39:L39"/>
    <mergeCell ref="I31:L31"/>
    <mergeCell ref="I29:L29"/>
    <mergeCell ref="I26:L26"/>
    <mergeCell ref="I34:L34"/>
    <mergeCell ref="D27:E27"/>
    <mergeCell ref="D28:E28"/>
    <mergeCell ref="D38:E38"/>
    <mergeCell ref="I23:L23"/>
    <mergeCell ref="I24:L24"/>
    <mergeCell ref="D40:E40"/>
    <mergeCell ref="D37:E37"/>
    <mergeCell ref="I28:L28"/>
    <mergeCell ref="I38:L38"/>
    <mergeCell ref="D67:E67"/>
    <mergeCell ref="D51:E51"/>
    <mergeCell ref="D35:E35"/>
    <mergeCell ref="D31:E31"/>
    <mergeCell ref="D30:E30"/>
    <mergeCell ref="D57:E57"/>
    <mergeCell ref="I47:L47"/>
    <mergeCell ref="D36:E36"/>
    <mergeCell ref="D33:E33"/>
    <mergeCell ref="D34:E34"/>
    <mergeCell ref="I40:L40"/>
    <mergeCell ref="I52:L52"/>
    <mergeCell ref="I46:L46"/>
    <mergeCell ref="I53:L53"/>
    <mergeCell ref="I63:L63"/>
    <mergeCell ref="I48:L48"/>
    <mergeCell ref="I45:L45"/>
    <mergeCell ref="I41:L41"/>
    <mergeCell ref="I49:L49"/>
    <mergeCell ref="I43:L43"/>
    <mergeCell ref="D78:E78"/>
    <mergeCell ref="D52:E52"/>
    <mergeCell ref="D59:E59"/>
    <mergeCell ref="D62:E62"/>
    <mergeCell ref="D58:E58"/>
    <mergeCell ref="D53:E53"/>
    <mergeCell ref="D49:E49"/>
    <mergeCell ref="D64:E64"/>
    <mergeCell ref="D69:E69"/>
    <mergeCell ref="D70:E70"/>
    <mergeCell ref="D66:E66"/>
    <mergeCell ref="D72:E72"/>
    <mergeCell ref="D77:E77"/>
    <mergeCell ref="D60:E60"/>
    <mergeCell ref="D76:E76"/>
    <mergeCell ref="D73:E73"/>
    <mergeCell ref="D65:E65"/>
    <mergeCell ref="N37:Q37"/>
    <mergeCell ref="Q14:R14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D13:L14"/>
    <mergeCell ref="C15:L15"/>
    <mergeCell ref="I27:L27"/>
    <mergeCell ref="I25:L25"/>
    <mergeCell ref="D26:E26"/>
    <mergeCell ref="Q17:R17"/>
    <mergeCell ref="D17:E17"/>
    <mergeCell ref="D18:E18"/>
    <mergeCell ref="D19:E19"/>
    <mergeCell ref="D20:E20"/>
    <mergeCell ref="Q19:R19"/>
    <mergeCell ref="Q20:R20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31FAD-941F-F54A-B405-DFE310CA2C56}">
  <dimension ref="B2:R86"/>
  <sheetViews>
    <sheetView tabSelected="1" topLeftCell="A23" zoomScale="110" zoomScaleNormal="110" workbookViewId="0">
      <selection activeCell="O50" sqref="O50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230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112</v>
      </c>
    </row>
    <row r="4" spans="2:18" ht="19" x14ac:dyDescent="0.25">
      <c r="B4" s="13">
        <v>46177</v>
      </c>
      <c r="C4" s="13">
        <v>46179</v>
      </c>
      <c r="D4" s="3" t="s">
        <v>660</v>
      </c>
      <c r="E4" s="3" t="s">
        <v>686</v>
      </c>
      <c r="F4" s="3">
        <v>83.43</v>
      </c>
      <c r="G4" s="3"/>
      <c r="H4" s="50">
        <f>F4/L4</f>
        <v>41.715000000000003</v>
      </c>
      <c r="I4" s="93"/>
      <c r="J4" s="94"/>
      <c r="K4" s="94"/>
      <c r="L4" s="3">
        <f>C4-B4</f>
        <v>2</v>
      </c>
      <c r="N4" s="3" t="s">
        <v>46</v>
      </c>
      <c r="O4" s="3">
        <v>995</v>
      </c>
      <c r="P4" s="3"/>
    </row>
    <row r="5" spans="2:18" ht="19" x14ac:dyDescent="0.25">
      <c r="B5" s="13">
        <v>46179</v>
      </c>
      <c r="C5" s="13">
        <v>46181</v>
      </c>
      <c r="D5" s="3" t="s">
        <v>674</v>
      </c>
      <c r="E5" s="3" t="s">
        <v>845</v>
      </c>
      <c r="F5" s="3">
        <v>79.73</v>
      </c>
      <c r="G5" s="3">
        <v>7561</v>
      </c>
      <c r="H5" s="50">
        <f t="shared" ref="H5" si="0">F5/L5</f>
        <v>39.865000000000002</v>
      </c>
      <c r="I5" s="93" t="s">
        <v>846</v>
      </c>
      <c r="J5" s="94"/>
      <c r="K5" s="94"/>
      <c r="L5" s="3">
        <f t="shared" ref="L5" si="1">C5-B5</f>
        <v>2</v>
      </c>
      <c r="N5" s="3" t="s">
        <v>48</v>
      </c>
      <c r="O5" s="3">
        <v>9790</v>
      </c>
      <c r="P5" s="3"/>
    </row>
    <row r="6" spans="2:18" ht="19" x14ac:dyDescent="0.25">
      <c r="B6" s="13">
        <v>46181</v>
      </c>
      <c r="C6" s="13">
        <v>46184</v>
      </c>
      <c r="D6" s="3" t="s">
        <v>659</v>
      </c>
      <c r="E6" s="3" t="s">
        <v>850</v>
      </c>
      <c r="F6" s="3">
        <v>121.36</v>
      </c>
      <c r="G6" s="3">
        <v>13629</v>
      </c>
      <c r="H6" s="50">
        <f>F6/L6</f>
        <v>40.453333333333333</v>
      </c>
      <c r="I6" s="93"/>
      <c r="J6" s="94"/>
      <c r="K6" s="94"/>
      <c r="L6" s="3">
        <f>C6-B6</f>
        <v>3</v>
      </c>
      <c r="N6" s="3" t="s">
        <v>49</v>
      </c>
      <c r="O6" s="3">
        <v>1855</v>
      </c>
      <c r="P6" s="3"/>
    </row>
    <row r="7" spans="2:18" ht="19" x14ac:dyDescent="0.25">
      <c r="B7" s="13">
        <v>46184</v>
      </c>
      <c r="C7" s="13">
        <v>46188</v>
      </c>
      <c r="D7" s="3" t="s">
        <v>658</v>
      </c>
      <c r="E7" s="3" t="s">
        <v>844</v>
      </c>
      <c r="F7" s="3">
        <v>178.75</v>
      </c>
      <c r="G7" s="3">
        <v>20074</v>
      </c>
      <c r="H7" s="50">
        <f>F7/L7</f>
        <v>44.6875</v>
      </c>
      <c r="I7" s="93"/>
      <c r="J7" s="94"/>
      <c r="K7" s="94"/>
      <c r="L7" s="3">
        <f>C7-B7</f>
        <v>4</v>
      </c>
      <c r="N7" s="3" t="s">
        <v>840</v>
      </c>
      <c r="O7" s="3">
        <v>250</v>
      </c>
      <c r="P7" s="1"/>
    </row>
    <row r="8" spans="2:18" ht="19" x14ac:dyDescent="0.25">
      <c r="B8" s="13"/>
      <c r="C8" s="13"/>
      <c r="D8" s="3"/>
      <c r="E8" s="3"/>
      <c r="F8" s="3"/>
      <c r="G8" s="3"/>
      <c r="H8" s="50"/>
      <c r="I8" s="95"/>
      <c r="J8" s="95"/>
      <c r="K8" s="95"/>
      <c r="L8" s="3"/>
      <c r="N8" s="3" t="s">
        <v>841</v>
      </c>
      <c r="O8" s="3">
        <v>1750</v>
      </c>
      <c r="P8" s="1"/>
    </row>
    <row r="9" spans="2:18" ht="19" x14ac:dyDescent="0.25">
      <c r="B9" s="2"/>
      <c r="C9" s="2"/>
      <c r="D9" s="3"/>
      <c r="E9" s="3"/>
      <c r="F9" s="3">
        <f>SUM(F4:F7)</f>
        <v>463.27000000000004</v>
      </c>
      <c r="G9" s="5">
        <f>SUM(G4:G7)</f>
        <v>41264</v>
      </c>
      <c r="H9" s="50">
        <f>F9/L9</f>
        <v>42.115454545454547</v>
      </c>
      <c r="I9" s="95"/>
      <c r="J9" s="95"/>
      <c r="K9" s="95"/>
      <c r="L9" s="3">
        <f>SUM(L4:L7)</f>
        <v>11</v>
      </c>
      <c r="N9" s="1"/>
      <c r="O9" s="5">
        <f>SUM(O4:O8)</f>
        <v>14640</v>
      </c>
      <c r="P9" s="1"/>
    </row>
    <row r="10" spans="2:18" x14ac:dyDescent="0.2">
      <c r="B10" s="38"/>
      <c r="C10" s="89"/>
      <c r="D10" s="89"/>
      <c r="E10" s="89"/>
      <c r="F10" s="89"/>
      <c r="G10" s="89"/>
      <c r="H10" s="89"/>
      <c r="I10" s="89"/>
      <c r="J10" s="89"/>
      <c r="K10" s="89"/>
      <c r="L10" s="89"/>
    </row>
    <row r="11" spans="2:18" x14ac:dyDescent="0.2">
      <c r="C11" s="90"/>
      <c r="D11" s="90"/>
      <c r="E11" s="90"/>
      <c r="F11" s="90"/>
      <c r="G11" s="90"/>
      <c r="H11" s="90"/>
      <c r="I11" s="90"/>
      <c r="J11" s="90"/>
      <c r="K11" s="90"/>
      <c r="L11" s="90"/>
    </row>
    <row r="12" spans="2:18" ht="19" x14ac:dyDescent="0.25">
      <c r="C12" s="96" t="s">
        <v>68</v>
      </c>
      <c r="D12" s="96"/>
      <c r="E12" s="96"/>
      <c r="F12" s="96"/>
      <c r="G12" s="96"/>
      <c r="H12" s="96"/>
      <c r="I12" s="96"/>
      <c r="J12" s="96"/>
      <c r="K12" s="96"/>
      <c r="L12" s="96"/>
      <c r="N12" s="81" t="s">
        <v>69</v>
      </c>
      <c r="O12" s="82"/>
      <c r="P12" s="82"/>
      <c r="Q12" s="82"/>
      <c r="R12" s="83"/>
    </row>
    <row r="13" spans="2:18" ht="19" x14ac:dyDescent="0.25">
      <c r="C13" s="12" t="s">
        <v>20</v>
      </c>
      <c r="D13" s="98" t="s">
        <v>2</v>
      </c>
      <c r="E13" s="98"/>
      <c r="F13" s="12" t="s">
        <v>21</v>
      </c>
      <c r="G13" s="12" t="s">
        <v>230</v>
      </c>
      <c r="H13" s="12" t="s">
        <v>53</v>
      </c>
      <c r="I13" s="6" t="s">
        <v>853</v>
      </c>
      <c r="J13" s="88" t="s">
        <v>7</v>
      </c>
      <c r="K13" s="88"/>
      <c r="L13" s="78"/>
      <c r="N13" s="6" t="s">
        <v>45</v>
      </c>
      <c r="O13" s="6" t="s">
        <v>230</v>
      </c>
      <c r="P13" s="6" t="s">
        <v>53</v>
      </c>
      <c r="Q13" s="77" t="s">
        <v>7</v>
      </c>
      <c r="R13" s="78"/>
    </row>
    <row r="14" spans="2:18" ht="19" x14ac:dyDescent="0.25">
      <c r="C14" s="55">
        <v>46177</v>
      </c>
      <c r="D14" s="79" t="s">
        <v>670</v>
      </c>
      <c r="E14" s="80"/>
      <c r="F14" s="1" t="s">
        <v>660</v>
      </c>
      <c r="G14" s="1">
        <v>0</v>
      </c>
      <c r="H14" s="1"/>
      <c r="I14" s="57">
        <v>20</v>
      </c>
      <c r="J14" s="103" t="s">
        <v>698</v>
      </c>
      <c r="K14" s="103"/>
      <c r="L14" s="104"/>
      <c r="N14" s="3" t="s">
        <v>223</v>
      </c>
      <c r="O14" s="3">
        <v>75</v>
      </c>
      <c r="P14" s="3"/>
      <c r="Q14" s="84"/>
      <c r="R14" s="85"/>
    </row>
    <row r="15" spans="2:18" ht="19" x14ac:dyDescent="0.25">
      <c r="C15" s="55">
        <v>46177</v>
      </c>
      <c r="D15" s="79" t="s">
        <v>848</v>
      </c>
      <c r="E15" s="80"/>
      <c r="F15" s="1" t="s">
        <v>660</v>
      </c>
      <c r="G15" s="1">
        <v>0</v>
      </c>
      <c r="H15" s="1"/>
      <c r="I15" s="57">
        <v>12</v>
      </c>
      <c r="J15" s="103" t="s">
        <v>698</v>
      </c>
      <c r="K15" s="103"/>
      <c r="L15" s="104"/>
      <c r="N15" s="3" t="s">
        <v>695</v>
      </c>
      <c r="O15" s="3">
        <v>130</v>
      </c>
      <c r="P15" s="3">
        <v>14512</v>
      </c>
      <c r="Q15" s="84"/>
      <c r="R15" s="85"/>
    </row>
    <row r="16" spans="2:18" ht="19" x14ac:dyDescent="0.25">
      <c r="C16" s="56">
        <v>46177</v>
      </c>
      <c r="D16" s="67" t="s">
        <v>669</v>
      </c>
      <c r="E16" s="68"/>
      <c r="F16" s="57" t="s">
        <v>660</v>
      </c>
      <c r="G16" s="57">
        <v>0</v>
      </c>
      <c r="H16" s="57"/>
      <c r="I16" s="57">
        <v>19</v>
      </c>
      <c r="J16" s="103" t="s">
        <v>698</v>
      </c>
      <c r="K16" s="103"/>
      <c r="L16" s="104"/>
      <c r="N16" s="3" t="s">
        <v>77</v>
      </c>
      <c r="O16" s="3">
        <v>9.3800000000000008</v>
      </c>
      <c r="P16" s="3">
        <v>1049</v>
      </c>
      <c r="Q16" s="84"/>
      <c r="R16" s="85"/>
    </row>
    <row r="17" spans="3:18" ht="19" x14ac:dyDescent="0.25">
      <c r="C17" s="56">
        <v>46177</v>
      </c>
      <c r="D17" s="67" t="s">
        <v>847</v>
      </c>
      <c r="E17" s="68"/>
      <c r="F17" s="57" t="s">
        <v>660</v>
      </c>
      <c r="G17" s="57">
        <v>0</v>
      </c>
      <c r="H17" s="57"/>
      <c r="I17" s="57">
        <v>19</v>
      </c>
      <c r="J17" s="103" t="s">
        <v>698</v>
      </c>
      <c r="K17" s="103"/>
      <c r="L17" s="104"/>
      <c r="N17" s="3" t="s">
        <v>701</v>
      </c>
      <c r="O17" s="3">
        <v>70</v>
      </c>
      <c r="P17" s="3"/>
      <c r="Q17" s="84"/>
      <c r="R17" s="85"/>
    </row>
    <row r="18" spans="3:18" ht="19" x14ac:dyDescent="0.25">
      <c r="C18" s="56">
        <v>46178</v>
      </c>
      <c r="D18" s="71" t="s">
        <v>687</v>
      </c>
      <c r="E18" s="71"/>
      <c r="F18" s="57" t="s">
        <v>687</v>
      </c>
      <c r="G18" s="58">
        <v>18.899999999999999</v>
      </c>
      <c r="H18" s="57">
        <v>2113</v>
      </c>
      <c r="I18" s="57"/>
      <c r="J18" s="91"/>
      <c r="K18" s="91"/>
      <c r="L18" s="68"/>
      <c r="N18" s="3" t="s">
        <v>861</v>
      </c>
      <c r="O18" s="4">
        <v>4.7</v>
      </c>
      <c r="P18" s="4"/>
      <c r="Q18" s="84"/>
      <c r="R18" s="85"/>
    </row>
    <row r="19" spans="3:18" ht="19" x14ac:dyDescent="0.25">
      <c r="C19" s="56">
        <v>46178</v>
      </c>
      <c r="D19" s="71" t="s">
        <v>671</v>
      </c>
      <c r="E19" s="71"/>
      <c r="F19" s="57" t="s">
        <v>660</v>
      </c>
      <c r="G19" s="57">
        <v>0</v>
      </c>
      <c r="H19" s="57"/>
      <c r="I19" s="57">
        <v>3.5</v>
      </c>
      <c r="J19" s="103" t="s">
        <v>698</v>
      </c>
      <c r="K19" s="103"/>
      <c r="L19" s="104"/>
      <c r="N19" s="3"/>
      <c r="O19" s="4"/>
      <c r="P19" s="4"/>
      <c r="Q19" s="84"/>
      <c r="R19" s="85"/>
    </row>
    <row r="20" spans="3:18" ht="19" x14ac:dyDescent="0.25">
      <c r="C20" s="56">
        <v>46178</v>
      </c>
      <c r="D20" s="67" t="s">
        <v>699</v>
      </c>
      <c r="E20" s="68"/>
      <c r="F20" s="57" t="s">
        <v>660</v>
      </c>
      <c r="G20" s="57">
        <v>0</v>
      </c>
      <c r="H20" s="57"/>
      <c r="I20" s="57">
        <v>7.5</v>
      </c>
      <c r="J20" s="103" t="s">
        <v>698</v>
      </c>
      <c r="K20" s="103"/>
      <c r="L20" s="104"/>
      <c r="N20" s="3"/>
      <c r="O20" s="4"/>
      <c r="P20" s="4"/>
      <c r="Q20" s="84"/>
      <c r="R20" s="85"/>
    </row>
    <row r="21" spans="3:18" ht="19" x14ac:dyDescent="0.25">
      <c r="C21" s="56">
        <v>46179</v>
      </c>
      <c r="D21" s="71" t="s">
        <v>672</v>
      </c>
      <c r="E21" s="71"/>
      <c r="F21" s="57" t="s">
        <v>685</v>
      </c>
      <c r="G21" s="57">
        <v>0</v>
      </c>
      <c r="H21" s="57"/>
      <c r="I21" s="57">
        <v>15</v>
      </c>
      <c r="J21" s="103" t="s">
        <v>698</v>
      </c>
      <c r="K21" s="103"/>
      <c r="L21" s="104"/>
      <c r="N21" s="3"/>
      <c r="O21" s="15">
        <f>SUM(O14:O20)</f>
        <v>289.08</v>
      </c>
      <c r="P21" s="5">
        <f>SUM(P14:P18)</f>
        <v>15561</v>
      </c>
      <c r="Q21" s="86"/>
      <c r="R21" s="87"/>
    </row>
    <row r="22" spans="3:18" x14ac:dyDescent="0.2">
      <c r="C22" s="56">
        <v>46179</v>
      </c>
      <c r="D22" s="71" t="s">
        <v>673</v>
      </c>
      <c r="E22" s="71"/>
      <c r="F22" s="57" t="s">
        <v>685</v>
      </c>
      <c r="G22" s="58">
        <v>14</v>
      </c>
      <c r="H22" s="57">
        <v>1661</v>
      </c>
      <c r="I22" s="57"/>
      <c r="J22" s="91"/>
      <c r="K22" s="91"/>
      <c r="L22" s="68"/>
      <c r="N22" s="89"/>
      <c r="O22" s="89"/>
      <c r="P22" s="89"/>
      <c r="Q22" s="89"/>
      <c r="R22" s="89"/>
    </row>
    <row r="23" spans="3:18" x14ac:dyDescent="0.2">
      <c r="C23" s="56">
        <v>46179</v>
      </c>
      <c r="D23" s="71" t="s">
        <v>696</v>
      </c>
      <c r="E23" s="71"/>
      <c r="F23" s="57" t="s">
        <v>674</v>
      </c>
      <c r="G23" s="57">
        <v>0</v>
      </c>
      <c r="H23" s="57"/>
      <c r="I23" s="57">
        <v>24</v>
      </c>
      <c r="J23" s="69" t="s">
        <v>222</v>
      </c>
      <c r="K23" s="69"/>
      <c r="L23" s="70"/>
      <c r="N23" s="90"/>
      <c r="O23" s="90"/>
      <c r="P23" s="90"/>
      <c r="Q23" s="90"/>
      <c r="R23" s="90"/>
    </row>
    <row r="24" spans="3:18" ht="19" x14ac:dyDescent="0.25">
      <c r="C24" s="56">
        <v>46180</v>
      </c>
      <c r="D24" s="71" t="s">
        <v>676</v>
      </c>
      <c r="E24" s="71"/>
      <c r="F24" s="57" t="s">
        <v>674</v>
      </c>
      <c r="G24" s="57">
        <v>0</v>
      </c>
      <c r="H24" s="57"/>
      <c r="I24" s="57">
        <v>14.5</v>
      </c>
      <c r="J24" s="103" t="s">
        <v>698</v>
      </c>
      <c r="K24" s="103"/>
      <c r="L24" s="104"/>
      <c r="N24" s="81" t="s">
        <v>38</v>
      </c>
      <c r="O24" s="82"/>
      <c r="P24" s="82"/>
      <c r="Q24" s="82"/>
      <c r="R24" s="82"/>
    </row>
    <row r="25" spans="3:18" ht="19" x14ac:dyDescent="0.25">
      <c r="C25" s="56">
        <v>46180</v>
      </c>
      <c r="D25" s="71" t="s">
        <v>678</v>
      </c>
      <c r="E25" s="71"/>
      <c r="F25" s="57" t="s">
        <v>674</v>
      </c>
      <c r="G25" s="57">
        <v>0</v>
      </c>
      <c r="H25" s="57"/>
      <c r="I25" s="57">
        <v>17.5</v>
      </c>
      <c r="J25" s="103" t="s">
        <v>698</v>
      </c>
      <c r="K25" s="103"/>
      <c r="L25" s="104"/>
      <c r="N25" s="6" t="s">
        <v>20</v>
      </c>
      <c r="O25" s="6" t="s">
        <v>32</v>
      </c>
      <c r="P25" s="6" t="s">
        <v>4</v>
      </c>
      <c r="Q25" s="77" t="s">
        <v>7</v>
      </c>
      <c r="R25" s="88"/>
    </row>
    <row r="26" spans="3:18" ht="19" x14ac:dyDescent="0.25">
      <c r="C26" s="56">
        <v>46180</v>
      </c>
      <c r="D26" s="71" t="s">
        <v>675</v>
      </c>
      <c r="E26" s="71"/>
      <c r="F26" s="57" t="s">
        <v>674</v>
      </c>
      <c r="G26" s="57">
        <v>17.5</v>
      </c>
      <c r="H26" s="57"/>
      <c r="I26" s="57"/>
      <c r="J26" s="91"/>
      <c r="K26" s="91"/>
      <c r="L26" s="68"/>
      <c r="N26" s="13">
        <v>46176</v>
      </c>
      <c r="O26" s="3" t="s">
        <v>842</v>
      </c>
      <c r="P26" s="3">
        <v>25778</v>
      </c>
      <c r="Q26" s="84"/>
      <c r="R26" s="85"/>
    </row>
    <row r="27" spans="3:18" ht="19" x14ac:dyDescent="0.25">
      <c r="C27" s="56">
        <v>46180</v>
      </c>
      <c r="D27" s="71" t="s">
        <v>677</v>
      </c>
      <c r="E27" s="71"/>
      <c r="F27" s="57" t="s">
        <v>674</v>
      </c>
      <c r="G27" s="57">
        <v>0</v>
      </c>
      <c r="H27" s="57"/>
      <c r="I27" s="57">
        <v>20</v>
      </c>
      <c r="J27" s="103" t="s">
        <v>698</v>
      </c>
      <c r="K27" s="103"/>
      <c r="L27" s="104"/>
      <c r="N27" s="13">
        <v>46188</v>
      </c>
      <c r="O27" s="3" t="s">
        <v>843</v>
      </c>
      <c r="P27" s="3">
        <v>25779</v>
      </c>
      <c r="Q27" s="84"/>
      <c r="R27" s="85"/>
    </row>
    <row r="28" spans="3:18" ht="19" x14ac:dyDescent="0.25">
      <c r="C28" s="56">
        <v>46180</v>
      </c>
      <c r="D28" s="71" t="s">
        <v>849</v>
      </c>
      <c r="E28" s="71"/>
      <c r="F28" s="57" t="s">
        <v>674</v>
      </c>
      <c r="G28" s="57">
        <v>11.5</v>
      </c>
      <c r="H28" s="57"/>
      <c r="I28" s="57"/>
      <c r="J28" s="91" t="s">
        <v>63</v>
      </c>
      <c r="K28" s="91"/>
      <c r="L28" s="68"/>
      <c r="N28" s="3"/>
      <c r="O28" s="3"/>
      <c r="P28" s="5">
        <f>P26+P27</f>
        <v>51557</v>
      </c>
      <c r="Q28" s="84"/>
      <c r="R28" s="85"/>
    </row>
    <row r="29" spans="3:18" x14ac:dyDescent="0.2">
      <c r="C29" s="56">
        <v>46181</v>
      </c>
      <c r="D29" s="71" t="s">
        <v>851</v>
      </c>
      <c r="E29" s="71"/>
      <c r="F29" s="57" t="s">
        <v>659</v>
      </c>
      <c r="G29" s="58">
        <v>14.5</v>
      </c>
      <c r="H29" s="57">
        <v>1621</v>
      </c>
      <c r="I29" s="57"/>
      <c r="J29" s="91"/>
      <c r="K29" s="91"/>
      <c r="L29" s="68"/>
      <c r="N29" s="89"/>
      <c r="O29" s="89"/>
      <c r="P29" s="89"/>
      <c r="Q29" s="89"/>
      <c r="R29" s="89"/>
    </row>
    <row r="30" spans="3:18" x14ac:dyDescent="0.2">
      <c r="C30" s="56">
        <v>46181</v>
      </c>
      <c r="D30" s="71" t="s">
        <v>668</v>
      </c>
      <c r="E30" s="71"/>
      <c r="F30" s="57" t="s">
        <v>659</v>
      </c>
      <c r="G30" s="57">
        <v>0</v>
      </c>
      <c r="H30" s="57"/>
      <c r="I30" s="57">
        <v>21.5</v>
      </c>
      <c r="J30" s="69" t="s">
        <v>222</v>
      </c>
      <c r="K30" s="69"/>
      <c r="L30" s="70"/>
      <c r="N30" s="90"/>
      <c r="O30" s="90"/>
      <c r="P30" s="90"/>
      <c r="Q30" s="90"/>
      <c r="R30" s="90"/>
    </row>
    <row r="31" spans="3:18" ht="19" x14ac:dyDescent="0.25">
      <c r="C31" s="55">
        <v>46182</v>
      </c>
      <c r="D31" s="74" t="s">
        <v>697</v>
      </c>
      <c r="E31" s="74"/>
      <c r="F31" s="1" t="s">
        <v>659</v>
      </c>
      <c r="G31" s="58">
        <v>17</v>
      </c>
      <c r="H31" s="1">
        <v>1911</v>
      </c>
      <c r="I31" s="57"/>
      <c r="J31" s="91"/>
      <c r="K31" s="91"/>
      <c r="L31" s="68"/>
      <c r="N31" s="81" t="s">
        <v>55</v>
      </c>
      <c r="O31" s="82"/>
      <c r="P31" s="82"/>
      <c r="Q31" s="82"/>
      <c r="R31" s="83"/>
    </row>
    <row r="32" spans="3:18" ht="19" x14ac:dyDescent="0.25">
      <c r="C32" s="55">
        <v>46182</v>
      </c>
      <c r="D32" s="79" t="s">
        <v>666</v>
      </c>
      <c r="E32" s="80"/>
      <c r="F32" s="1" t="s">
        <v>691</v>
      </c>
      <c r="G32" s="58">
        <v>10</v>
      </c>
      <c r="H32" s="1">
        <v>1118</v>
      </c>
      <c r="I32" s="57"/>
      <c r="J32" s="91"/>
      <c r="K32" s="91"/>
      <c r="L32" s="68"/>
      <c r="M32" s="37"/>
      <c r="N32" s="6" t="s">
        <v>90</v>
      </c>
      <c r="O32" s="6" t="s">
        <v>427</v>
      </c>
      <c r="P32" s="6" t="s">
        <v>56</v>
      </c>
      <c r="Q32" s="6" t="s">
        <v>37</v>
      </c>
      <c r="R32" s="6" t="s">
        <v>400</v>
      </c>
    </row>
    <row r="33" spans="3:18" ht="19" x14ac:dyDescent="0.25">
      <c r="C33" s="55">
        <v>46182</v>
      </c>
      <c r="D33" s="79" t="s">
        <v>667</v>
      </c>
      <c r="E33" s="80"/>
      <c r="F33" s="1" t="s">
        <v>691</v>
      </c>
      <c r="G33" s="1">
        <v>2</v>
      </c>
      <c r="H33" s="1"/>
      <c r="I33" s="57"/>
      <c r="J33" s="91"/>
      <c r="K33" s="91"/>
      <c r="L33" s="68"/>
      <c r="N33" s="3"/>
      <c r="O33" s="3"/>
      <c r="P33" s="3"/>
      <c r="Q33" s="5"/>
      <c r="R33" s="5"/>
    </row>
    <row r="34" spans="3:18" x14ac:dyDescent="0.2">
      <c r="C34" s="55">
        <v>46183</v>
      </c>
      <c r="D34" s="74" t="s">
        <v>665</v>
      </c>
      <c r="E34" s="74"/>
      <c r="F34" s="1" t="s">
        <v>659</v>
      </c>
      <c r="G34" s="1">
        <v>0</v>
      </c>
      <c r="H34" s="1"/>
      <c r="I34" s="57">
        <v>19.5</v>
      </c>
      <c r="J34" s="69" t="s">
        <v>222</v>
      </c>
      <c r="K34" s="69"/>
      <c r="L34" s="70"/>
    </row>
    <row r="35" spans="3:18" x14ac:dyDescent="0.2">
      <c r="C35" s="55">
        <v>46183</v>
      </c>
      <c r="D35" s="79" t="s">
        <v>689</v>
      </c>
      <c r="E35" s="80"/>
      <c r="F35" s="1" t="s">
        <v>659</v>
      </c>
      <c r="G35" s="1">
        <v>9</v>
      </c>
      <c r="H35" s="1"/>
      <c r="I35" s="57"/>
      <c r="J35" s="91"/>
      <c r="K35" s="91"/>
      <c r="L35" s="68"/>
    </row>
    <row r="36" spans="3:18" ht="19" x14ac:dyDescent="0.25">
      <c r="C36" s="55">
        <v>46183</v>
      </c>
      <c r="D36" s="74" t="s">
        <v>688</v>
      </c>
      <c r="E36" s="74"/>
      <c r="F36" s="1" t="s">
        <v>659</v>
      </c>
      <c r="G36" s="1">
        <v>16</v>
      </c>
      <c r="H36" s="1"/>
      <c r="I36" s="57"/>
      <c r="J36" s="91" t="s">
        <v>63</v>
      </c>
      <c r="K36" s="91"/>
      <c r="L36" s="68"/>
      <c r="N36" s="81" t="s">
        <v>57</v>
      </c>
      <c r="O36" s="82"/>
      <c r="P36" s="82"/>
      <c r="Q36" s="83"/>
    </row>
    <row r="37" spans="3:18" ht="19" x14ac:dyDescent="0.25">
      <c r="C37" s="55">
        <v>46184</v>
      </c>
      <c r="D37" s="74" t="s">
        <v>854</v>
      </c>
      <c r="E37" s="74"/>
      <c r="F37" s="1" t="s">
        <v>658</v>
      </c>
      <c r="G37" s="1">
        <v>0</v>
      </c>
      <c r="H37" s="1"/>
      <c r="I37" s="57">
        <v>29</v>
      </c>
      <c r="J37" s="72" t="s">
        <v>679</v>
      </c>
      <c r="K37" s="72"/>
      <c r="L37" s="73"/>
      <c r="N37" s="6" t="s">
        <v>63</v>
      </c>
      <c r="O37" s="6" t="s">
        <v>53</v>
      </c>
      <c r="P37" s="6" t="s">
        <v>400</v>
      </c>
      <c r="Q37" s="6" t="s">
        <v>456</v>
      </c>
    </row>
    <row r="38" spans="3:18" ht="19" x14ac:dyDescent="0.25">
      <c r="C38" s="56">
        <v>46184</v>
      </c>
      <c r="D38" s="71" t="s">
        <v>681</v>
      </c>
      <c r="E38" s="71"/>
      <c r="F38" s="57" t="s">
        <v>658</v>
      </c>
      <c r="G38" s="57">
        <v>0</v>
      </c>
      <c r="H38" s="57"/>
      <c r="I38" s="57">
        <v>14.5</v>
      </c>
      <c r="J38" s="72" t="s">
        <v>679</v>
      </c>
      <c r="K38" s="72"/>
      <c r="L38" s="73"/>
      <c r="N38" s="5">
        <f>(F9+O21+G61+G85)*R3+O9+P28</f>
        <v>188455.08</v>
      </c>
      <c r="O38" s="5">
        <f>G9+O9+P28+P21+H61+H85+R33</f>
        <v>141742</v>
      </c>
      <c r="P38" s="5"/>
      <c r="Q38" s="5">
        <f>P38+O38</f>
        <v>141742</v>
      </c>
    </row>
    <row r="39" spans="3:18" x14ac:dyDescent="0.2">
      <c r="C39" s="56">
        <v>46184</v>
      </c>
      <c r="D39" s="71" t="s">
        <v>683</v>
      </c>
      <c r="E39" s="71"/>
      <c r="F39" s="57" t="s">
        <v>658</v>
      </c>
      <c r="G39" s="57">
        <v>0</v>
      </c>
      <c r="H39" s="57"/>
      <c r="I39" s="57">
        <v>18</v>
      </c>
      <c r="J39" s="72" t="s">
        <v>679</v>
      </c>
      <c r="K39" s="72"/>
      <c r="L39" s="73"/>
      <c r="N39" s="53"/>
    </row>
    <row r="40" spans="3:18" x14ac:dyDescent="0.2">
      <c r="C40" s="56">
        <v>46184</v>
      </c>
      <c r="D40" s="71" t="s">
        <v>855</v>
      </c>
      <c r="E40" s="71"/>
      <c r="F40" s="57" t="s">
        <v>658</v>
      </c>
      <c r="G40" s="57">
        <v>0</v>
      </c>
      <c r="H40" s="57"/>
      <c r="I40" s="57">
        <v>20</v>
      </c>
      <c r="J40" s="72" t="s">
        <v>679</v>
      </c>
      <c r="K40" s="72"/>
      <c r="L40" s="73"/>
    </row>
    <row r="41" spans="3:18" x14ac:dyDescent="0.2">
      <c r="C41" s="56">
        <v>46184</v>
      </c>
      <c r="D41" s="71" t="s">
        <v>856</v>
      </c>
      <c r="E41" s="71"/>
      <c r="F41" s="57" t="s">
        <v>658</v>
      </c>
      <c r="G41" s="57">
        <v>0</v>
      </c>
      <c r="H41" s="57"/>
      <c r="I41" s="57">
        <v>17.5</v>
      </c>
      <c r="J41" s="72" t="s">
        <v>679</v>
      </c>
      <c r="K41" s="72"/>
      <c r="L41" s="73"/>
    </row>
    <row r="42" spans="3:18" x14ac:dyDescent="0.2">
      <c r="C42" s="56">
        <v>46184</v>
      </c>
      <c r="D42" s="71" t="s">
        <v>852</v>
      </c>
      <c r="E42" s="71"/>
      <c r="F42" s="57" t="s">
        <v>658</v>
      </c>
      <c r="G42" s="58">
        <v>30.5</v>
      </c>
      <c r="H42" s="57">
        <v>3399</v>
      </c>
      <c r="I42" s="57"/>
      <c r="J42" s="91"/>
      <c r="K42" s="91"/>
      <c r="L42" s="68"/>
    </row>
    <row r="43" spans="3:18" x14ac:dyDescent="0.2">
      <c r="C43" s="55">
        <v>46185</v>
      </c>
      <c r="D43" s="74" t="s">
        <v>663</v>
      </c>
      <c r="E43" s="74"/>
      <c r="F43" s="1" t="s">
        <v>658</v>
      </c>
      <c r="G43" s="1">
        <v>0</v>
      </c>
      <c r="H43" s="1"/>
      <c r="I43" s="57">
        <v>16.5</v>
      </c>
      <c r="J43" s="69" t="s">
        <v>222</v>
      </c>
      <c r="K43" s="69"/>
      <c r="L43" s="70"/>
    </row>
    <row r="44" spans="3:18" x14ac:dyDescent="0.2">
      <c r="C44" s="56">
        <v>46185</v>
      </c>
      <c r="D44" s="71" t="s">
        <v>680</v>
      </c>
      <c r="E44" s="71"/>
      <c r="F44" s="57" t="s">
        <v>658</v>
      </c>
      <c r="G44" s="57">
        <v>0</v>
      </c>
      <c r="H44" s="57"/>
      <c r="I44" s="57">
        <v>20</v>
      </c>
      <c r="J44" s="72" t="s">
        <v>679</v>
      </c>
      <c r="K44" s="72"/>
      <c r="L44" s="73"/>
    </row>
    <row r="45" spans="3:18" x14ac:dyDescent="0.2">
      <c r="C45" s="56">
        <v>46185</v>
      </c>
      <c r="D45" s="71" t="s">
        <v>857</v>
      </c>
      <c r="E45" s="71"/>
      <c r="F45" s="57" t="s">
        <v>658</v>
      </c>
      <c r="G45" s="57">
        <v>0</v>
      </c>
      <c r="H45" s="57"/>
      <c r="I45" s="57">
        <v>16.5</v>
      </c>
      <c r="J45" s="72" t="s">
        <v>679</v>
      </c>
      <c r="K45" s="72"/>
      <c r="L45" s="73"/>
    </row>
    <row r="46" spans="3:18" x14ac:dyDescent="0.2">
      <c r="C46" s="56">
        <v>46185</v>
      </c>
      <c r="D46" s="71" t="s">
        <v>682</v>
      </c>
      <c r="E46" s="71"/>
      <c r="F46" s="57" t="s">
        <v>658</v>
      </c>
      <c r="G46" s="57">
        <v>0</v>
      </c>
      <c r="H46" s="57"/>
      <c r="I46" s="57">
        <v>21.5</v>
      </c>
      <c r="J46" s="72" t="s">
        <v>679</v>
      </c>
      <c r="K46" s="72"/>
      <c r="L46" s="73"/>
    </row>
    <row r="47" spans="3:18" x14ac:dyDescent="0.2">
      <c r="C47" s="56">
        <v>46185</v>
      </c>
      <c r="D47" s="71" t="s">
        <v>858</v>
      </c>
      <c r="E47" s="71"/>
      <c r="F47" s="57" t="s">
        <v>658</v>
      </c>
      <c r="G47" s="57">
        <v>0</v>
      </c>
      <c r="H47" s="57"/>
      <c r="I47" s="57"/>
      <c r="J47" s="72" t="s">
        <v>859</v>
      </c>
      <c r="K47" s="72"/>
      <c r="L47" s="73"/>
    </row>
    <row r="48" spans="3:18" ht="19" x14ac:dyDescent="0.25">
      <c r="C48" s="55">
        <v>46186</v>
      </c>
      <c r="D48" s="74" t="s">
        <v>873</v>
      </c>
      <c r="E48" s="74"/>
      <c r="F48" s="57" t="s">
        <v>872</v>
      </c>
      <c r="G48" s="1">
        <v>6</v>
      </c>
      <c r="H48" s="4"/>
      <c r="I48" s="3"/>
      <c r="J48" s="99"/>
      <c r="K48" s="99"/>
      <c r="L48" s="100"/>
    </row>
    <row r="49" spans="3:12" ht="19" x14ac:dyDescent="0.25">
      <c r="C49" s="55">
        <v>46186</v>
      </c>
      <c r="D49" s="74" t="s">
        <v>874</v>
      </c>
      <c r="E49" s="74"/>
      <c r="F49" s="57" t="s">
        <v>872</v>
      </c>
      <c r="G49" s="1">
        <v>6</v>
      </c>
      <c r="H49" s="4"/>
      <c r="I49" s="3"/>
      <c r="J49" s="99"/>
      <c r="K49" s="99"/>
      <c r="L49" s="100"/>
    </row>
    <row r="50" spans="3:12" ht="19" x14ac:dyDescent="0.25">
      <c r="C50" s="55">
        <v>46186</v>
      </c>
      <c r="D50" s="74" t="s">
        <v>875</v>
      </c>
      <c r="E50" s="74"/>
      <c r="F50" s="57" t="s">
        <v>872</v>
      </c>
      <c r="G50" s="58">
        <v>16.5</v>
      </c>
      <c r="H50" s="57">
        <v>1848</v>
      </c>
      <c r="I50" s="3"/>
      <c r="J50" s="99"/>
      <c r="K50" s="99"/>
      <c r="L50" s="100"/>
    </row>
    <row r="51" spans="3:12" ht="19" x14ac:dyDescent="0.25">
      <c r="C51" s="55">
        <v>46186</v>
      </c>
      <c r="D51" s="74" t="s">
        <v>673</v>
      </c>
      <c r="E51" s="74"/>
      <c r="F51" s="57" t="s">
        <v>872</v>
      </c>
      <c r="G51" s="1">
        <v>12.5</v>
      </c>
      <c r="H51" s="4"/>
      <c r="I51" s="3"/>
      <c r="J51" s="99"/>
      <c r="K51" s="99"/>
      <c r="L51" s="100"/>
    </row>
    <row r="52" spans="3:12" ht="19" x14ac:dyDescent="0.25">
      <c r="C52" s="55">
        <v>46186</v>
      </c>
      <c r="D52" s="74" t="s">
        <v>876</v>
      </c>
      <c r="E52" s="74"/>
      <c r="F52" s="57" t="s">
        <v>872</v>
      </c>
      <c r="G52" s="1">
        <v>14.5</v>
      </c>
      <c r="H52" s="4"/>
      <c r="I52" s="3"/>
      <c r="J52" s="99"/>
      <c r="K52" s="99"/>
      <c r="L52" s="100"/>
    </row>
    <row r="53" spans="3:12" x14ac:dyDescent="0.2">
      <c r="C53" s="56">
        <v>46187</v>
      </c>
      <c r="D53" s="71" t="s">
        <v>877</v>
      </c>
      <c r="E53" s="71"/>
      <c r="F53" s="57" t="s">
        <v>684</v>
      </c>
      <c r="G53" s="57">
        <v>0</v>
      </c>
      <c r="H53" s="57"/>
      <c r="I53" s="57"/>
      <c r="J53" s="72" t="s">
        <v>859</v>
      </c>
      <c r="K53" s="72"/>
      <c r="L53" s="73"/>
    </row>
    <row r="54" spans="3:12" x14ac:dyDescent="0.2">
      <c r="C54" s="56">
        <v>46187</v>
      </c>
      <c r="D54" s="71" t="s">
        <v>860</v>
      </c>
      <c r="E54" s="71"/>
      <c r="F54" s="57" t="s">
        <v>684</v>
      </c>
      <c r="G54" s="57">
        <v>0</v>
      </c>
      <c r="H54" s="57"/>
      <c r="I54" s="57"/>
      <c r="J54" s="72" t="s">
        <v>878</v>
      </c>
      <c r="K54" s="72"/>
      <c r="L54" s="73"/>
    </row>
    <row r="55" spans="3:12" x14ac:dyDescent="0.2">
      <c r="C55" s="55">
        <v>46187</v>
      </c>
      <c r="D55" s="74" t="s">
        <v>693</v>
      </c>
      <c r="E55" s="74"/>
      <c r="F55" s="1" t="s">
        <v>684</v>
      </c>
      <c r="G55" s="1">
        <v>10</v>
      </c>
      <c r="H55" s="1"/>
      <c r="I55" s="57"/>
      <c r="J55" s="91"/>
      <c r="K55" s="91"/>
      <c r="L55" s="68"/>
    </row>
    <row r="56" spans="3:12" x14ac:dyDescent="0.2">
      <c r="C56" s="56">
        <v>46187</v>
      </c>
      <c r="D56" s="71" t="s">
        <v>424</v>
      </c>
      <c r="E56" s="71"/>
      <c r="F56" s="57" t="s">
        <v>684</v>
      </c>
      <c r="G56" s="57">
        <v>0</v>
      </c>
      <c r="H56" s="57"/>
      <c r="I56" s="57">
        <v>20</v>
      </c>
      <c r="J56" s="72" t="s">
        <v>679</v>
      </c>
      <c r="K56" s="72"/>
      <c r="L56" s="73"/>
    </row>
    <row r="57" spans="3:12" x14ac:dyDescent="0.2">
      <c r="C57" s="56">
        <v>46188</v>
      </c>
      <c r="D57" s="67" t="s">
        <v>661</v>
      </c>
      <c r="E57" s="68"/>
      <c r="F57" s="57" t="s">
        <v>658</v>
      </c>
      <c r="G57" s="57">
        <v>0</v>
      </c>
      <c r="H57" s="57"/>
      <c r="I57" s="57">
        <v>25</v>
      </c>
      <c r="J57" s="69" t="s">
        <v>222</v>
      </c>
      <c r="K57" s="69"/>
      <c r="L57" s="70"/>
    </row>
    <row r="58" spans="3:12" x14ac:dyDescent="0.2">
      <c r="C58" s="56">
        <v>46188</v>
      </c>
      <c r="D58" s="71" t="s">
        <v>662</v>
      </c>
      <c r="E58" s="71"/>
      <c r="F58" s="57" t="s">
        <v>658</v>
      </c>
      <c r="G58" s="57">
        <v>0</v>
      </c>
      <c r="H58" s="57"/>
      <c r="I58" s="57">
        <v>25</v>
      </c>
      <c r="J58" s="72" t="s">
        <v>679</v>
      </c>
      <c r="K58" s="72"/>
      <c r="L58" s="73"/>
    </row>
    <row r="59" spans="3:12" x14ac:dyDescent="0.2">
      <c r="C59" s="56">
        <v>46188</v>
      </c>
      <c r="D59" s="71" t="s">
        <v>664</v>
      </c>
      <c r="E59" s="71"/>
      <c r="F59" s="57" t="s">
        <v>658</v>
      </c>
      <c r="G59" s="57">
        <v>0</v>
      </c>
      <c r="H59" s="57"/>
      <c r="I59" s="57">
        <v>22.5</v>
      </c>
      <c r="J59" s="72" t="s">
        <v>679</v>
      </c>
      <c r="K59" s="72"/>
      <c r="L59" s="73"/>
    </row>
    <row r="60" spans="3:12" ht="19" x14ac:dyDescent="0.25">
      <c r="C60" s="1"/>
      <c r="D60" s="74"/>
      <c r="E60" s="74"/>
      <c r="F60" s="3"/>
      <c r="G60" s="4"/>
      <c r="H60" s="4"/>
      <c r="I60" s="3"/>
      <c r="J60" s="99"/>
      <c r="K60" s="99"/>
      <c r="L60" s="100"/>
    </row>
    <row r="61" spans="3:12" ht="19" x14ac:dyDescent="0.25">
      <c r="C61" s="1"/>
      <c r="D61" s="74"/>
      <c r="E61" s="74"/>
      <c r="F61" s="14"/>
      <c r="G61" s="4">
        <f>SUM(G14:G59)</f>
        <v>226.4</v>
      </c>
      <c r="H61" s="5">
        <f>SUM(H14:H59)</f>
        <v>13671</v>
      </c>
      <c r="I61" s="3">
        <f>SUM(I14:I59)</f>
        <v>479</v>
      </c>
      <c r="J61" s="101"/>
      <c r="K61" s="101"/>
      <c r="L61" s="102"/>
    </row>
    <row r="62" spans="3:12" x14ac:dyDescent="0.2">
      <c r="C62" s="89"/>
      <c r="D62" s="89"/>
      <c r="E62" s="89"/>
      <c r="F62" s="89"/>
      <c r="G62" s="89"/>
      <c r="H62" s="89"/>
      <c r="I62" s="89"/>
      <c r="J62" s="89"/>
      <c r="K62" s="89"/>
      <c r="L62" s="89"/>
    </row>
    <row r="63" spans="3:12" x14ac:dyDescent="0.2">
      <c r="C63" s="90"/>
      <c r="D63" s="90"/>
      <c r="E63" s="90"/>
      <c r="F63" s="90"/>
      <c r="G63" s="90"/>
      <c r="H63" s="90"/>
      <c r="I63" s="90"/>
      <c r="J63" s="90"/>
      <c r="K63" s="90"/>
      <c r="L63" s="90"/>
    </row>
    <row r="64" spans="3:12" ht="19" x14ac:dyDescent="0.25">
      <c r="C64" s="81" t="s">
        <v>33</v>
      </c>
      <c r="D64" s="82"/>
      <c r="E64" s="82"/>
      <c r="F64" s="82"/>
      <c r="G64" s="82"/>
      <c r="H64" s="82"/>
      <c r="I64" s="82"/>
      <c r="J64" s="82"/>
      <c r="K64" s="82"/>
      <c r="L64" s="83"/>
    </row>
    <row r="65" spans="3:12" ht="19" x14ac:dyDescent="0.25">
      <c r="C65" s="6" t="s">
        <v>20</v>
      </c>
      <c r="D65" s="6" t="s">
        <v>65</v>
      </c>
      <c r="E65" s="6" t="s">
        <v>66</v>
      </c>
      <c r="F65" s="6" t="s">
        <v>196</v>
      </c>
      <c r="G65" s="6" t="s">
        <v>230</v>
      </c>
      <c r="H65" s="6" t="s">
        <v>53</v>
      </c>
      <c r="I65" s="6" t="s">
        <v>195</v>
      </c>
      <c r="J65" s="76" t="s">
        <v>7</v>
      </c>
      <c r="K65" s="76"/>
      <c r="L65" s="76"/>
    </row>
    <row r="66" spans="3:12" x14ac:dyDescent="0.2">
      <c r="C66" s="55">
        <v>46177</v>
      </c>
      <c r="D66" s="1" t="s">
        <v>690</v>
      </c>
      <c r="E66" s="1" t="s">
        <v>660</v>
      </c>
      <c r="F66" s="1"/>
      <c r="G66" s="1">
        <v>16.399999999999999</v>
      </c>
      <c r="H66" s="1"/>
      <c r="I66" s="1"/>
      <c r="J66" s="74"/>
      <c r="K66" s="74"/>
      <c r="L66" s="74"/>
    </row>
    <row r="67" spans="3:12" x14ac:dyDescent="0.2">
      <c r="C67" s="55">
        <v>46178</v>
      </c>
      <c r="D67" s="1" t="s">
        <v>660</v>
      </c>
      <c r="E67" s="1" t="s">
        <v>687</v>
      </c>
      <c r="F67" s="1"/>
      <c r="G67" s="58">
        <v>4.3499999999999996</v>
      </c>
      <c r="H67" s="1">
        <v>489.5</v>
      </c>
      <c r="I67" s="1"/>
      <c r="J67" s="74"/>
      <c r="K67" s="74"/>
      <c r="L67" s="74"/>
    </row>
    <row r="68" spans="3:12" x14ac:dyDescent="0.2">
      <c r="C68" s="55">
        <v>46178</v>
      </c>
      <c r="D68" s="1" t="s">
        <v>694</v>
      </c>
      <c r="E68" s="1" t="s">
        <v>660</v>
      </c>
      <c r="F68" s="1"/>
      <c r="G68" s="58">
        <v>4.3499999999999996</v>
      </c>
      <c r="H68" s="1">
        <v>489.5</v>
      </c>
      <c r="I68" s="1"/>
      <c r="J68" s="74"/>
      <c r="K68" s="74"/>
      <c r="L68" s="74"/>
    </row>
    <row r="69" spans="3:12" x14ac:dyDescent="0.2">
      <c r="C69" s="55">
        <v>46179</v>
      </c>
      <c r="D69" s="1" t="s">
        <v>660</v>
      </c>
      <c r="E69" s="1" t="s">
        <v>674</v>
      </c>
      <c r="F69" s="1"/>
      <c r="G69" s="58">
        <v>4.8</v>
      </c>
      <c r="H69" s="1">
        <v>540</v>
      </c>
      <c r="I69" s="1"/>
      <c r="J69" s="74"/>
      <c r="K69" s="74"/>
      <c r="L69" s="74"/>
    </row>
    <row r="70" spans="3:12" x14ac:dyDescent="0.2">
      <c r="C70" s="55">
        <v>6</v>
      </c>
      <c r="D70" s="1" t="s">
        <v>700</v>
      </c>
      <c r="E70" s="1" t="s">
        <v>685</v>
      </c>
      <c r="F70" s="1"/>
      <c r="G70" s="1">
        <v>8.6</v>
      </c>
      <c r="H70" s="1"/>
      <c r="I70" s="1"/>
      <c r="J70" s="74"/>
      <c r="K70" s="74"/>
      <c r="L70" s="74"/>
    </row>
    <row r="71" spans="3:12" x14ac:dyDescent="0.2">
      <c r="C71" s="55">
        <v>46180</v>
      </c>
      <c r="D71" s="1" t="s">
        <v>700</v>
      </c>
      <c r="E71" s="1"/>
      <c r="F71" s="1"/>
      <c r="G71" s="1">
        <v>8.6</v>
      </c>
      <c r="H71" s="1"/>
      <c r="I71" s="1"/>
      <c r="J71" s="74"/>
      <c r="K71" s="74"/>
      <c r="L71" s="74"/>
    </row>
    <row r="72" spans="3:12" x14ac:dyDescent="0.2">
      <c r="C72" s="55">
        <v>46181</v>
      </c>
      <c r="D72" s="1" t="s">
        <v>674</v>
      </c>
      <c r="E72" s="1" t="s">
        <v>659</v>
      </c>
      <c r="F72" s="1"/>
      <c r="G72" s="58">
        <v>9.56</v>
      </c>
      <c r="H72" s="1">
        <v>1076</v>
      </c>
      <c r="I72" s="1"/>
      <c r="J72" s="74"/>
      <c r="K72" s="74"/>
      <c r="L72" s="74"/>
    </row>
    <row r="73" spans="3:12" x14ac:dyDescent="0.2">
      <c r="C73" s="55">
        <v>46181</v>
      </c>
      <c r="D73" s="1" t="s">
        <v>659</v>
      </c>
      <c r="E73" s="1" t="s">
        <v>668</v>
      </c>
      <c r="F73" s="1"/>
      <c r="G73" s="1">
        <v>5</v>
      </c>
      <c r="H73" s="1"/>
      <c r="I73" s="1"/>
      <c r="J73" s="74"/>
      <c r="K73" s="74"/>
      <c r="L73" s="74"/>
    </row>
    <row r="74" spans="3:12" x14ac:dyDescent="0.2">
      <c r="C74" s="55">
        <v>46181</v>
      </c>
      <c r="D74" s="1" t="s">
        <v>668</v>
      </c>
      <c r="E74" s="1" t="s">
        <v>659</v>
      </c>
      <c r="F74" s="1"/>
      <c r="G74" s="1">
        <v>5</v>
      </c>
      <c r="H74" s="1"/>
      <c r="I74" s="1"/>
      <c r="J74" s="74"/>
      <c r="K74" s="74"/>
      <c r="L74" s="74"/>
    </row>
    <row r="75" spans="3:12" x14ac:dyDescent="0.2">
      <c r="C75" s="55">
        <v>46182</v>
      </c>
      <c r="D75" s="1" t="s">
        <v>659</v>
      </c>
      <c r="E75" s="1" t="s">
        <v>691</v>
      </c>
      <c r="F75" s="1"/>
      <c r="G75" s="1">
        <v>5</v>
      </c>
      <c r="H75" s="1"/>
      <c r="I75" s="1"/>
      <c r="J75" s="74"/>
      <c r="K75" s="74"/>
      <c r="L75" s="74"/>
    </row>
    <row r="76" spans="3:12" x14ac:dyDescent="0.2">
      <c r="C76" s="55">
        <v>46182</v>
      </c>
      <c r="D76" s="1" t="s">
        <v>691</v>
      </c>
      <c r="E76" s="1" t="s">
        <v>659</v>
      </c>
      <c r="F76" s="1"/>
      <c r="G76" s="1">
        <v>5</v>
      </c>
      <c r="H76" s="1"/>
      <c r="I76" s="1"/>
      <c r="J76" s="74"/>
      <c r="K76" s="74"/>
      <c r="L76" s="74"/>
    </row>
    <row r="77" spans="3:12" x14ac:dyDescent="0.2">
      <c r="C77" s="55">
        <v>46184</v>
      </c>
      <c r="D77" s="1" t="s">
        <v>659</v>
      </c>
      <c r="E77" s="1" t="s">
        <v>658</v>
      </c>
      <c r="F77" s="1"/>
      <c r="G77" s="1">
        <v>9.1999999999999993</v>
      </c>
      <c r="H77" s="1"/>
      <c r="I77" s="1"/>
      <c r="J77" s="74"/>
      <c r="K77" s="74"/>
      <c r="L77" s="74"/>
    </row>
    <row r="78" spans="3:12" x14ac:dyDescent="0.2">
      <c r="C78" s="55">
        <v>46186</v>
      </c>
      <c r="D78" s="1" t="s">
        <v>658</v>
      </c>
      <c r="E78" s="1" t="s">
        <v>872</v>
      </c>
      <c r="F78" s="1"/>
      <c r="G78" s="58">
        <v>7.8</v>
      </c>
      <c r="H78" s="1">
        <v>873</v>
      </c>
      <c r="I78" s="1"/>
      <c r="J78" s="74"/>
      <c r="K78" s="74"/>
      <c r="L78" s="74"/>
    </row>
    <row r="79" spans="3:12" x14ac:dyDescent="0.2">
      <c r="C79" s="55">
        <v>46186</v>
      </c>
      <c r="D79" s="1" t="s">
        <v>872</v>
      </c>
      <c r="E79" s="1" t="s">
        <v>658</v>
      </c>
      <c r="F79" s="1"/>
      <c r="G79" s="58">
        <v>7.2</v>
      </c>
      <c r="H79" s="1">
        <v>807</v>
      </c>
      <c r="I79" s="1"/>
      <c r="J79" s="74"/>
      <c r="K79" s="74"/>
      <c r="L79" s="74"/>
    </row>
    <row r="80" spans="3:12" x14ac:dyDescent="0.2">
      <c r="C80" s="55">
        <v>46187</v>
      </c>
      <c r="D80" s="1" t="s">
        <v>658</v>
      </c>
      <c r="E80" s="1" t="s">
        <v>684</v>
      </c>
      <c r="F80" s="1"/>
      <c r="G80" s="58">
        <v>3.58</v>
      </c>
      <c r="H80" s="1">
        <v>403</v>
      </c>
      <c r="I80" s="1"/>
      <c r="J80" s="74"/>
      <c r="K80" s="74"/>
      <c r="L80" s="74"/>
    </row>
    <row r="81" spans="3:12" x14ac:dyDescent="0.2">
      <c r="C81" s="55">
        <v>46187</v>
      </c>
      <c r="D81" s="1" t="s">
        <v>684</v>
      </c>
      <c r="E81" s="1" t="s">
        <v>658</v>
      </c>
      <c r="F81" s="1"/>
      <c r="G81" s="58">
        <v>3.3</v>
      </c>
      <c r="H81" s="1">
        <v>371</v>
      </c>
      <c r="I81" s="1"/>
      <c r="J81" s="74"/>
      <c r="K81" s="74"/>
      <c r="L81" s="74"/>
    </row>
    <row r="82" spans="3:12" x14ac:dyDescent="0.2">
      <c r="C82" s="1"/>
      <c r="D82" s="1"/>
      <c r="E82" s="1"/>
      <c r="F82" s="1"/>
      <c r="G82" s="1"/>
      <c r="H82" s="1"/>
      <c r="I82" s="1"/>
      <c r="J82" s="74"/>
      <c r="K82" s="74"/>
      <c r="L82" s="74"/>
    </row>
    <row r="83" spans="3:12" x14ac:dyDescent="0.2">
      <c r="C83" s="55">
        <v>46188</v>
      </c>
      <c r="D83" s="1" t="s">
        <v>658</v>
      </c>
      <c r="E83" s="1" t="s">
        <v>692</v>
      </c>
      <c r="F83" s="1"/>
      <c r="G83" s="1">
        <v>5.0999999999999996</v>
      </c>
      <c r="H83" s="1"/>
      <c r="I83" s="1"/>
      <c r="J83" s="74"/>
      <c r="K83" s="74"/>
      <c r="L83" s="74"/>
    </row>
    <row r="84" spans="3:12" x14ac:dyDescent="0.2">
      <c r="C84" s="1"/>
      <c r="D84" s="1"/>
      <c r="E84" s="1"/>
      <c r="F84" s="1"/>
      <c r="G84" s="1"/>
      <c r="H84" s="1"/>
      <c r="I84" s="1"/>
      <c r="J84" s="74"/>
      <c r="K84" s="74"/>
      <c r="L84" s="74"/>
    </row>
    <row r="85" spans="3:12" ht="19" x14ac:dyDescent="0.25">
      <c r="C85" s="13"/>
      <c r="D85" s="3"/>
      <c r="E85" s="1"/>
      <c r="F85" s="3"/>
      <c r="G85" s="4">
        <f>SUM(G66:G83)</f>
        <v>112.83999999999999</v>
      </c>
      <c r="H85" s="5">
        <f>SUM(H66:H83)</f>
        <v>5049</v>
      </c>
      <c r="I85" s="3"/>
      <c r="J85" s="75"/>
      <c r="K85" s="75"/>
      <c r="L85" s="75"/>
    </row>
    <row r="86" spans="3:12" x14ac:dyDescent="0.2">
      <c r="D86" s="38"/>
      <c r="E86" s="38"/>
      <c r="F86" s="38"/>
      <c r="G86" s="38"/>
      <c r="H86" s="38"/>
      <c r="I86" s="38"/>
      <c r="J86" s="38"/>
      <c r="K86" s="38"/>
      <c r="L86" s="38"/>
    </row>
  </sheetData>
  <mergeCells count="151">
    <mergeCell ref="D56:E56"/>
    <mergeCell ref="J56:L56"/>
    <mergeCell ref="D55:E55"/>
    <mergeCell ref="J55:L55"/>
    <mergeCell ref="D41:E41"/>
    <mergeCell ref="J41:L41"/>
    <mergeCell ref="D45:E45"/>
    <mergeCell ref="J45:L45"/>
    <mergeCell ref="D46:E46"/>
    <mergeCell ref="J46:L46"/>
    <mergeCell ref="D52:E52"/>
    <mergeCell ref="J52:L52"/>
    <mergeCell ref="D48:E48"/>
    <mergeCell ref="D43:E43"/>
    <mergeCell ref="D51:E51"/>
    <mergeCell ref="J51:L51"/>
    <mergeCell ref="D53:E53"/>
    <mergeCell ref="J53:L53"/>
    <mergeCell ref="J43:L43"/>
    <mergeCell ref="J40:L40"/>
    <mergeCell ref="J44:L44"/>
    <mergeCell ref="J24:L24"/>
    <mergeCell ref="J25:L25"/>
    <mergeCell ref="J26:L26"/>
    <mergeCell ref="J27:L27"/>
    <mergeCell ref="J28:L28"/>
    <mergeCell ref="J29:L29"/>
    <mergeCell ref="J13:L13"/>
    <mergeCell ref="J14:L14"/>
    <mergeCell ref="J15:L15"/>
    <mergeCell ref="J16:L16"/>
    <mergeCell ref="J17:L17"/>
    <mergeCell ref="J18:L18"/>
    <mergeCell ref="J19:L19"/>
    <mergeCell ref="J20:L20"/>
    <mergeCell ref="J21:L21"/>
    <mergeCell ref="B2:L2"/>
    <mergeCell ref="D49:E49"/>
    <mergeCell ref="D47:E47"/>
    <mergeCell ref="D54:E54"/>
    <mergeCell ref="D39:E39"/>
    <mergeCell ref="D16:E16"/>
    <mergeCell ref="D60:E60"/>
    <mergeCell ref="D61:E61"/>
    <mergeCell ref="C62:L63"/>
    <mergeCell ref="D13:E13"/>
    <mergeCell ref="D50:E50"/>
    <mergeCell ref="J30:L30"/>
    <mergeCell ref="J31:L31"/>
    <mergeCell ref="J34:L34"/>
    <mergeCell ref="J38:L38"/>
    <mergeCell ref="J42:L42"/>
    <mergeCell ref="J47:L47"/>
    <mergeCell ref="J49:L49"/>
    <mergeCell ref="J50:L50"/>
    <mergeCell ref="J48:L48"/>
    <mergeCell ref="J54:L54"/>
    <mergeCell ref="J39:L39"/>
    <mergeCell ref="J60:L60"/>
    <mergeCell ref="J61:L61"/>
    <mergeCell ref="N2:P2"/>
    <mergeCell ref="I3:K3"/>
    <mergeCell ref="I4:K4"/>
    <mergeCell ref="I5:K5"/>
    <mergeCell ref="I6:K6"/>
    <mergeCell ref="D44:E44"/>
    <mergeCell ref="D38:E38"/>
    <mergeCell ref="D37:E37"/>
    <mergeCell ref="I8:K8"/>
    <mergeCell ref="N29:R30"/>
    <mergeCell ref="D32:E32"/>
    <mergeCell ref="N31:R31"/>
    <mergeCell ref="D29:E29"/>
    <mergeCell ref="I9:K9"/>
    <mergeCell ref="Q14:R14"/>
    <mergeCell ref="C10:L11"/>
    <mergeCell ref="Q15:R15"/>
    <mergeCell ref="Q16:R16"/>
    <mergeCell ref="I7:K7"/>
    <mergeCell ref="N12:R12"/>
    <mergeCell ref="D14:E14"/>
    <mergeCell ref="C12:L12"/>
    <mergeCell ref="D17:E17"/>
    <mergeCell ref="D15:E15"/>
    <mergeCell ref="D40:E40"/>
    <mergeCell ref="N24:R24"/>
    <mergeCell ref="D42:E42"/>
    <mergeCell ref="Q27:R27"/>
    <mergeCell ref="Q28:R28"/>
    <mergeCell ref="J22:L22"/>
    <mergeCell ref="J23:L23"/>
    <mergeCell ref="D28:E28"/>
    <mergeCell ref="D33:E33"/>
    <mergeCell ref="D31:E31"/>
    <mergeCell ref="J32:L32"/>
    <mergeCell ref="J33:L33"/>
    <mergeCell ref="J35:L35"/>
    <mergeCell ref="J36:L36"/>
    <mergeCell ref="J37:L37"/>
    <mergeCell ref="Q13:R13"/>
    <mergeCell ref="D36:E36"/>
    <mergeCell ref="D35:E35"/>
    <mergeCell ref="N36:Q36"/>
    <mergeCell ref="D30:E30"/>
    <mergeCell ref="D20:E20"/>
    <mergeCell ref="D19:E19"/>
    <mergeCell ref="D26:E26"/>
    <mergeCell ref="D25:E25"/>
    <mergeCell ref="D21:E21"/>
    <mergeCell ref="D22:E22"/>
    <mergeCell ref="Q20:R20"/>
    <mergeCell ref="Q21:R21"/>
    <mergeCell ref="Q17:R17"/>
    <mergeCell ref="D23:E23"/>
    <mergeCell ref="D27:E27"/>
    <mergeCell ref="D24:E24"/>
    <mergeCell ref="Q18:R18"/>
    <mergeCell ref="D18:E18"/>
    <mergeCell ref="Q19:R19"/>
    <mergeCell ref="Q25:R25"/>
    <mergeCell ref="D34:E34"/>
    <mergeCell ref="Q26:R26"/>
    <mergeCell ref="N22:R23"/>
    <mergeCell ref="J84:L84"/>
    <mergeCell ref="J85:L85"/>
    <mergeCell ref="J69:L69"/>
    <mergeCell ref="J70:L70"/>
    <mergeCell ref="J71:L71"/>
    <mergeCell ref="J78:L78"/>
    <mergeCell ref="J65:L65"/>
    <mergeCell ref="J66:L66"/>
    <mergeCell ref="J67:L67"/>
    <mergeCell ref="J68:L68"/>
    <mergeCell ref="J72:L72"/>
    <mergeCell ref="J73:L73"/>
    <mergeCell ref="J74:L74"/>
    <mergeCell ref="J75:L75"/>
    <mergeCell ref="J76:L76"/>
    <mergeCell ref="J77:L77"/>
    <mergeCell ref="J79:L79"/>
    <mergeCell ref="J80:L80"/>
    <mergeCell ref="D57:E57"/>
    <mergeCell ref="J57:L57"/>
    <mergeCell ref="D58:E58"/>
    <mergeCell ref="J58:L58"/>
    <mergeCell ref="D59:E59"/>
    <mergeCell ref="J59:L59"/>
    <mergeCell ref="J81:L81"/>
    <mergeCell ref="J82:L82"/>
    <mergeCell ref="J83:L83"/>
    <mergeCell ref="C64:L64"/>
  </mergeCell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F1A68-D8B9-3840-898B-AC26DACE2362}">
  <dimension ref="B2:R63"/>
  <sheetViews>
    <sheetView topLeftCell="A21" zoomScale="110" zoomScaleNormal="110" workbookViewId="0">
      <selection activeCell="B8" sqref="B8:L12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362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14.5</v>
      </c>
    </row>
    <row r="4" spans="2:18" ht="19" x14ac:dyDescent="0.25">
      <c r="B4" s="13">
        <v>46164</v>
      </c>
      <c r="C4" s="13">
        <v>46171</v>
      </c>
      <c r="D4" s="3" t="s">
        <v>361</v>
      </c>
      <c r="E4" s="3" t="s">
        <v>553</v>
      </c>
      <c r="F4" s="3">
        <v>1209</v>
      </c>
      <c r="G4" s="3"/>
      <c r="H4" s="50">
        <f>F4/L4</f>
        <v>172.71428571428572</v>
      </c>
      <c r="I4" s="148"/>
      <c r="J4" s="95"/>
      <c r="K4" s="95"/>
      <c r="L4" s="3">
        <f t="shared" ref="L4:L6" si="0">C4-B4</f>
        <v>7</v>
      </c>
      <c r="N4" s="3"/>
      <c r="O4" s="3"/>
      <c r="P4" s="3"/>
    </row>
    <row r="5" spans="2:18" ht="19" x14ac:dyDescent="0.25">
      <c r="B5" s="13">
        <v>46170</v>
      </c>
      <c r="C5" s="13">
        <v>46172</v>
      </c>
      <c r="D5" s="3" t="s">
        <v>404</v>
      </c>
      <c r="E5" s="3" t="s">
        <v>639</v>
      </c>
      <c r="F5" s="3">
        <v>442</v>
      </c>
      <c r="G5" s="3"/>
      <c r="H5" s="50">
        <f t="shared" ref="H5:H6" si="1">F5/L5</f>
        <v>221</v>
      </c>
      <c r="I5" s="148"/>
      <c r="J5" s="95"/>
      <c r="K5" s="95"/>
      <c r="L5" s="3">
        <f t="shared" si="0"/>
        <v>2</v>
      </c>
      <c r="N5" s="3"/>
      <c r="O5" s="3"/>
      <c r="P5" s="3"/>
    </row>
    <row r="6" spans="2:18" ht="19" x14ac:dyDescent="0.25">
      <c r="B6" s="13">
        <v>46172</v>
      </c>
      <c r="C6" s="13">
        <v>46173</v>
      </c>
      <c r="D6" s="3" t="s">
        <v>409</v>
      </c>
      <c r="E6" s="3" t="s">
        <v>640</v>
      </c>
      <c r="F6" s="3">
        <v>361</v>
      </c>
      <c r="G6" s="3"/>
      <c r="H6" s="50">
        <f t="shared" si="1"/>
        <v>361</v>
      </c>
      <c r="I6" s="95"/>
      <c r="J6" s="95"/>
      <c r="K6" s="95"/>
      <c r="L6" s="3">
        <f t="shared" si="0"/>
        <v>1</v>
      </c>
      <c r="N6" s="3"/>
      <c r="O6" s="3"/>
      <c r="P6" s="3"/>
    </row>
    <row r="7" spans="2:18" ht="19" x14ac:dyDescent="0.25">
      <c r="B7" s="63"/>
      <c r="C7" s="64"/>
      <c r="D7" s="65"/>
      <c r="E7" s="65"/>
      <c r="F7" s="65"/>
      <c r="G7" s="65"/>
      <c r="H7" s="66"/>
      <c r="I7" s="145"/>
      <c r="J7" s="146"/>
      <c r="K7" s="147"/>
      <c r="L7" s="65"/>
      <c r="N7" s="3"/>
      <c r="O7" s="3"/>
      <c r="P7" s="1"/>
    </row>
    <row r="8" spans="2:18" ht="19" x14ac:dyDescent="0.25">
      <c r="B8" s="13"/>
      <c r="C8" s="13"/>
      <c r="D8" s="3"/>
      <c r="E8" s="3"/>
      <c r="F8" s="3"/>
      <c r="G8" s="3"/>
      <c r="H8" s="50"/>
      <c r="I8" s="93"/>
      <c r="J8" s="94"/>
      <c r="K8" s="108"/>
      <c r="L8" s="3"/>
      <c r="N8" s="3"/>
      <c r="O8" s="3"/>
      <c r="P8" s="1"/>
    </row>
    <row r="9" spans="2:18" ht="19" x14ac:dyDescent="0.25">
      <c r="B9" s="13"/>
      <c r="C9" s="13"/>
      <c r="D9" s="3"/>
      <c r="E9" s="3"/>
      <c r="F9" s="3"/>
      <c r="G9" s="3"/>
      <c r="H9" s="50"/>
      <c r="I9" s="113"/>
      <c r="J9" s="114"/>
      <c r="K9" s="115"/>
      <c r="L9" s="3"/>
      <c r="N9" s="1"/>
      <c r="O9" s="5">
        <f>SUM(O4:O8)</f>
        <v>0</v>
      </c>
      <c r="P9" s="1"/>
    </row>
    <row r="10" spans="2:18" ht="19" x14ac:dyDescent="0.25">
      <c r="B10" s="2"/>
      <c r="C10" s="2"/>
      <c r="D10" s="3"/>
      <c r="E10" s="3"/>
      <c r="F10" s="3">
        <f>SUM(F4:F8)</f>
        <v>2012</v>
      </c>
      <c r="G10" s="5">
        <f>SUM(G4:G8)</f>
        <v>0</v>
      </c>
      <c r="H10" s="50">
        <f>F10/L10</f>
        <v>201.2</v>
      </c>
      <c r="I10" s="95"/>
      <c r="J10" s="95"/>
      <c r="K10" s="95"/>
      <c r="L10" s="3">
        <f>SUM(L4:L8)</f>
        <v>10</v>
      </c>
    </row>
    <row r="11" spans="2:18" x14ac:dyDescent="0.2">
      <c r="B11" s="38"/>
      <c r="C11" s="89"/>
      <c r="D11" s="89"/>
      <c r="E11" s="89"/>
      <c r="F11" s="89"/>
      <c r="G11" s="89"/>
      <c r="H11" s="89"/>
      <c r="I11" s="89"/>
      <c r="J11" s="89"/>
      <c r="K11" s="89"/>
      <c r="L11" s="89"/>
    </row>
    <row r="12" spans="2:18" ht="19" x14ac:dyDescent="0.25">
      <c r="C12" s="90"/>
      <c r="D12" s="90"/>
      <c r="E12" s="90"/>
      <c r="F12" s="90"/>
      <c r="G12" s="90"/>
      <c r="H12" s="90"/>
      <c r="I12" s="90"/>
      <c r="J12" s="90"/>
      <c r="K12" s="90"/>
      <c r="L12" s="90"/>
      <c r="N12" s="81" t="s">
        <v>69</v>
      </c>
      <c r="O12" s="82"/>
      <c r="P12" s="82"/>
      <c r="Q12" s="82"/>
      <c r="R12" s="83"/>
    </row>
    <row r="13" spans="2:18" ht="19" x14ac:dyDescent="0.25">
      <c r="C13" s="96" t="s">
        <v>68</v>
      </c>
      <c r="D13" s="96"/>
      <c r="E13" s="96"/>
      <c r="F13" s="96"/>
      <c r="G13" s="96"/>
      <c r="H13" s="96"/>
      <c r="I13" s="96"/>
      <c r="J13" s="96"/>
      <c r="K13" s="96"/>
      <c r="L13" s="96"/>
      <c r="N13" s="6" t="s">
        <v>45</v>
      </c>
      <c r="O13" s="6" t="s">
        <v>362</v>
      </c>
      <c r="P13" s="6" t="s">
        <v>53</v>
      </c>
      <c r="Q13" s="77" t="s">
        <v>7</v>
      </c>
      <c r="R13" s="78"/>
    </row>
    <row r="14" spans="2:18" ht="19" x14ac:dyDescent="0.25">
      <c r="C14" s="12" t="s">
        <v>20</v>
      </c>
      <c r="D14" s="98" t="s">
        <v>2</v>
      </c>
      <c r="E14" s="98"/>
      <c r="F14" s="12" t="s">
        <v>21</v>
      </c>
      <c r="G14" s="12" t="s">
        <v>362</v>
      </c>
      <c r="H14" s="12" t="s">
        <v>53</v>
      </c>
      <c r="I14" s="6" t="s">
        <v>853</v>
      </c>
      <c r="J14" s="88" t="s">
        <v>7</v>
      </c>
      <c r="K14" s="88"/>
      <c r="L14" s="78"/>
      <c r="N14" s="3" t="s">
        <v>866</v>
      </c>
      <c r="O14" s="3">
        <v>1419</v>
      </c>
      <c r="P14" s="3"/>
      <c r="Q14" s="84"/>
      <c r="R14" s="85"/>
    </row>
    <row r="15" spans="2:18" ht="19" x14ac:dyDescent="0.25">
      <c r="C15" s="55"/>
      <c r="D15" s="74" t="s">
        <v>371</v>
      </c>
      <c r="E15" s="74"/>
      <c r="F15" s="1" t="s">
        <v>459</v>
      </c>
      <c r="G15" s="1">
        <v>199</v>
      </c>
      <c r="H15" s="1"/>
      <c r="I15" s="1">
        <v>180</v>
      </c>
      <c r="J15" s="74" t="s">
        <v>478</v>
      </c>
      <c r="K15" s="74"/>
      <c r="L15" s="74"/>
      <c r="N15" s="3" t="s">
        <v>442</v>
      </c>
      <c r="O15" s="3">
        <v>76</v>
      </c>
      <c r="P15" s="3"/>
      <c r="Q15" s="84"/>
      <c r="R15" s="85"/>
    </row>
    <row r="16" spans="2:18" ht="19" x14ac:dyDescent="0.25">
      <c r="C16" s="55"/>
      <c r="D16" s="74" t="s">
        <v>368</v>
      </c>
      <c r="E16" s="74"/>
      <c r="F16" s="1" t="s">
        <v>459</v>
      </c>
      <c r="G16" s="1">
        <v>0</v>
      </c>
      <c r="H16" s="1"/>
      <c r="I16" s="1">
        <v>140</v>
      </c>
      <c r="J16" s="74" t="s">
        <v>375</v>
      </c>
      <c r="K16" s="74"/>
      <c r="L16" s="74"/>
      <c r="N16" s="3"/>
      <c r="O16" s="3"/>
      <c r="P16" s="3"/>
      <c r="Q16" s="84"/>
      <c r="R16" s="85"/>
    </row>
    <row r="17" spans="3:18" ht="19" x14ac:dyDescent="0.25">
      <c r="C17" s="56"/>
      <c r="D17" s="74" t="s">
        <v>461</v>
      </c>
      <c r="E17" s="74"/>
      <c r="F17" s="1" t="s">
        <v>459</v>
      </c>
      <c r="G17" s="1">
        <v>0</v>
      </c>
      <c r="H17" s="57"/>
      <c r="I17" s="1">
        <v>125</v>
      </c>
      <c r="J17" s="74" t="s">
        <v>375</v>
      </c>
      <c r="K17" s="74"/>
      <c r="L17" s="74"/>
      <c r="N17" s="3"/>
      <c r="O17" s="3"/>
      <c r="P17" s="3"/>
      <c r="Q17" s="84"/>
      <c r="R17" s="85"/>
    </row>
    <row r="18" spans="3:18" ht="19" x14ac:dyDescent="0.25">
      <c r="C18" s="56"/>
      <c r="D18" s="74" t="s">
        <v>464</v>
      </c>
      <c r="E18" s="74"/>
      <c r="F18" s="1" t="s">
        <v>459</v>
      </c>
      <c r="G18" s="1">
        <v>60</v>
      </c>
      <c r="H18" s="57"/>
      <c r="I18" s="1"/>
      <c r="J18" s="74"/>
      <c r="K18" s="74"/>
      <c r="L18" s="74"/>
      <c r="N18" s="3"/>
      <c r="O18" s="3"/>
      <c r="P18" s="3"/>
      <c r="Q18" s="84"/>
      <c r="R18" s="85"/>
    </row>
    <row r="19" spans="3:18" ht="19" x14ac:dyDescent="0.25">
      <c r="C19" s="56"/>
      <c r="D19" s="74" t="s">
        <v>466</v>
      </c>
      <c r="E19" s="74"/>
      <c r="F19" s="1" t="s">
        <v>459</v>
      </c>
      <c r="G19" s="1">
        <v>0</v>
      </c>
      <c r="H19" s="57"/>
      <c r="I19" s="1">
        <v>130</v>
      </c>
      <c r="J19" s="74" t="s">
        <v>375</v>
      </c>
      <c r="K19" s="74"/>
      <c r="L19" s="74"/>
      <c r="N19" s="3"/>
      <c r="O19" s="3"/>
      <c r="P19" s="3"/>
      <c r="Q19" s="84"/>
      <c r="R19" s="85"/>
    </row>
    <row r="20" spans="3:18" ht="19" x14ac:dyDescent="0.25">
      <c r="C20" s="56"/>
      <c r="D20" s="74" t="s">
        <v>369</v>
      </c>
      <c r="E20" s="74"/>
      <c r="F20" s="1" t="s">
        <v>459</v>
      </c>
      <c r="G20" s="1">
        <v>0</v>
      </c>
      <c r="H20" s="57"/>
      <c r="I20" s="1">
        <v>225</v>
      </c>
      <c r="J20" s="74" t="s">
        <v>375</v>
      </c>
      <c r="K20" s="74"/>
      <c r="L20" s="74"/>
      <c r="N20" s="3"/>
      <c r="O20" s="4"/>
      <c r="P20" s="4"/>
      <c r="Q20" s="84"/>
      <c r="R20" s="85"/>
    </row>
    <row r="21" spans="3:18" ht="19" x14ac:dyDescent="0.25">
      <c r="C21" s="56"/>
      <c r="D21" s="74" t="s">
        <v>512</v>
      </c>
      <c r="E21" s="74"/>
      <c r="F21" s="1" t="s">
        <v>459</v>
      </c>
      <c r="G21" s="1">
        <v>0</v>
      </c>
      <c r="H21" s="57"/>
      <c r="I21" s="1">
        <v>150</v>
      </c>
      <c r="J21" s="74" t="s">
        <v>375</v>
      </c>
      <c r="K21" s="74"/>
      <c r="L21" s="74"/>
      <c r="N21" s="3"/>
      <c r="O21" s="15">
        <f>SUM(O14:O20)</f>
        <v>1495</v>
      </c>
      <c r="P21" s="5">
        <f>SUM(P14:P18)</f>
        <v>0</v>
      </c>
      <c r="Q21" s="86"/>
      <c r="R21" s="87"/>
    </row>
    <row r="22" spans="3:18" x14ac:dyDescent="0.2">
      <c r="C22" s="56"/>
      <c r="D22" s="74" t="s">
        <v>513</v>
      </c>
      <c r="E22" s="74"/>
      <c r="F22" s="1" t="s">
        <v>459</v>
      </c>
      <c r="G22" s="1">
        <v>0</v>
      </c>
      <c r="H22" s="57"/>
      <c r="I22" s="1">
        <v>85</v>
      </c>
      <c r="J22" s="74" t="s">
        <v>375</v>
      </c>
      <c r="K22" s="74"/>
      <c r="L22" s="74"/>
      <c r="N22" s="89"/>
      <c r="O22" s="89"/>
      <c r="P22" s="89"/>
      <c r="Q22" s="89"/>
      <c r="R22" s="89"/>
    </row>
    <row r="23" spans="3:18" x14ac:dyDescent="0.2">
      <c r="C23" s="56"/>
      <c r="D23" s="74" t="s">
        <v>370</v>
      </c>
      <c r="E23" s="74"/>
      <c r="F23" s="1" t="s">
        <v>459</v>
      </c>
      <c r="G23" s="1">
        <v>0</v>
      </c>
      <c r="H23" s="57"/>
      <c r="I23" s="1">
        <v>199</v>
      </c>
      <c r="J23" s="74" t="s">
        <v>375</v>
      </c>
      <c r="K23" s="74"/>
      <c r="L23" s="74"/>
      <c r="N23" s="90"/>
      <c r="O23" s="90"/>
      <c r="P23" s="90"/>
      <c r="Q23" s="90"/>
      <c r="R23" s="90"/>
    </row>
    <row r="24" spans="3:18" ht="19" x14ac:dyDescent="0.25">
      <c r="C24" s="56"/>
      <c r="D24" s="74" t="s">
        <v>376</v>
      </c>
      <c r="E24" s="74"/>
      <c r="F24" s="1" t="s">
        <v>410</v>
      </c>
      <c r="G24" s="1">
        <v>0</v>
      </c>
      <c r="H24" s="57"/>
      <c r="I24" s="1">
        <v>70</v>
      </c>
      <c r="J24" s="74" t="s">
        <v>375</v>
      </c>
      <c r="K24" s="74"/>
      <c r="L24" s="74"/>
      <c r="N24" s="81" t="s">
        <v>38</v>
      </c>
      <c r="O24" s="82"/>
      <c r="P24" s="82"/>
      <c r="Q24" s="82"/>
      <c r="R24" s="82"/>
    </row>
    <row r="25" spans="3:18" ht="19" x14ac:dyDescent="0.25">
      <c r="C25" s="56"/>
      <c r="D25" s="74" t="s">
        <v>374</v>
      </c>
      <c r="E25" s="74"/>
      <c r="F25" s="1" t="s">
        <v>410</v>
      </c>
      <c r="G25" s="1">
        <v>0</v>
      </c>
      <c r="H25" s="57"/>
      <c r="I25" s="1">
        <v>165</v>
      </c>
      <c r="J25" s="74" t="s">
        <v>375</v>
      </c>
      <c r="K25" s="74"/>
      <c r="L25" s="74"/>
      <c r="N25" s="6" t="s">
        <v>20</v>
      </c>
      <c r="O25" s="6" t="s">
        <v>32</v>
      </c>
      <c r="P25" s="6" t="s">
        <v>4</v>
      </c>
      <c r="Q25" s="77" t="s">
        <v>7</v>
      </c>
      <c r="R25" s="88"/>
    </row>
    <row r="26" spans="3:18" ht="19" x14ac:dyDescent="0.25">
      <c r="C26" s="56"/>
      <c r="D26" s="74" t="s">
        <v>460</v>
      </c>
      <c r="E26" s="74"/>
      <c r="F26" s="1" t="s">
        <v>459</v>
      </c>
      <c r="G26" s="1">
        <v>0</v>
      </c>
      <c r="H26" s="57"/>
      <c r="I26" s="1"/>
      <c r="J26" s="74"/>
      <c r="K26" s="74"/>
      <c r="L26" s="74"/>
      <c r="N26" s="13"/>
      <c r="O26" s="3"/>
      <c r="P26" s="3"/>
      <c r="Q26" s="84"/>
      <c r="R26" s="85"/>
    </row>
    <row r="27" spans="3:18" ht="19" x14ac:dyDescent="0.25">
      <c r="C27" s="56"/>
      <c r="D27" s="74" t="s">
        <v>462</v>
      </c>
      <c r="E27" s="74"/>
      <c r="F27" s="1" t="s">
        <v>412</v>
      </c>
      <c r="G27" s="1">
        <v>0</v>
      </c>
      <c r="H27" s="57"/>
      <c r="I27" s="1">
        <v>150</v>
      </c>
      <c r="J27" s="74" t="s">
        <v>375</v>
      </c>
      <c r="K27" s="74"/>
      <c r="L27" s="74"/>
      <c r="N27" s="13"/>
      <c r="O27" s="3"/>
      <c r="P27" s="3"/>
      <c r="Q27" s="84"/>
      <c r="R27" s="85"/>
    </row>
    <row r="28" spans="3:18" ht="19" x14ac:dyDescent="0.25">
      <c r="C28" s="56"/>
      <c r="D28" s="74" t="s">
        <v>373</v>
      </c>
      <c r="E28" s="74"/>
      <c r="F28" s="1" t="s">
        <v>412</v>
      </c>
      <c r="G28" s="1">
        <v>0</v>
      </c>
      <c r="H28" s="57"/>
      <c r="I28" s="1">
        <v>145</v>
      </c>
      <c r="J28" s="74" t="s">
        <v>375</v>
      </c>
      <c r="K28" s="74"/>
      <c r="L28" s="74"/>
      <c r="N28" s="3"/>
      <c r="O28" s="3"/>
      <c r="P28" s="5">
        <f>P26+P27</f>
        <v>0</v>
      </c>
      <c r="Q28" s="84"/>
      <c r="R28" s="85"/>
    </row>
    <row r="29" spans="3:18" x14ac:dyDescent="0.2">
      <c r="C29" s="56"/>
      <c r="D29" s="74" t="s">
        <v>372</v>
      </c>
      <c r="E29" s="74"/>
      <c r="F29" s="1" t="s">
        <v>411</v>
      </c>
      <c r="G29" s="1">
        <v>0</v>
      </c>
      <c r="H29" s="57"/>
      <c r="I29" s="1">
        <v>125</v>
      </c>
      <c r="J29" s="74" t="s">
        <v>375</v>
      </c>
      <c r="K29" s="74"/>
      <c r="L29" s="74"/>
      <c r="N29" s="89"/>
      <c r="O29" s="89"/>
      <c r="P29" s="89"/>
      <c r="Q29" s="89"/>
      <c r="R29" s="89"/>
    </row>
    <row r="30" spans="3:18" x14ac:dyDescent="0.2">
      <c r="C30" s="56"/>
      <c r="D30" s="74" t="s">
        <v>463</v>
      </c>
      <c r="E30" s="74"/>
      <c r="F30" s="1" t="s">
        <v>411</v>
      </c>
      <c r="G30" s="1">
        <v>0</v>
      </c>
      <c r="H30" s="57"/>
      <c r="I30" s="1">
        <v>40</v>
      </c>
      <c r="J30" s="74" t="s">
        <v>375</v>
      </c>
      <c r="K30" s="74"/>
      <c r="L30" s="74"/>
      <c r="N30" s="90"/>
      <c r="O30" s="90"/>
      <c r="P30" s="90"/>
      <c r="Q30" s="90"/>
      <c r="R30" s="90"/>
    </row>
    <row r="31" spans="3:18" ht="19" x14ac:dyDescent="0.25">
      <c r="C31" s="56"/>
      <c r="D31" s="74" t="s">
        <v>465</v>
      </c>
      <c r="E31" s="74"/>
      <c r="F31" s="1" t="s">
        <v>459</v>
      </c>
      <c r="G31" s="1">
        <v>0</v>
      </c>
      <c r="H31" s="57"/>
      <c r="I31" s="1">
        <v>140</v>
      </c>
      <c r="J31" s="74" t="s">
        <v>375</v>
      </c>
      <c r="K31" s="74"/>
      <c r="L31" s="74"/>
      <c r="N31" s="81" t="s">
        <v>55</v>
      </c>
      <c r="O31" s="82"/>
      <c r="P31" s="82"/>
      <c r="Q31" s="82"/>
      <c r="R31" s="83"/>
    </row>
    <row r="32" spans="3:18" ht="19" x14ac:dyDescent="0.25">
      <c r="C32" s="55"/>
      <c r="D32" s="74" t="s">
        <v>467</v>
      </c>
      <c r="E32" s="74"/>
      <c r="F32" s="1" t="s">
        <v>459</v>
      </c>
      <c r="G32" s="1">
        <v>150</v>
      </c>
      <c r="H32" s="1"/>
      <c r="I32" s="1"/>
      <c r="J32" s="74" t="s">
        <v>375</v>
      </c>
      <c r="K32" s="74"/>
      <c r="L32" s="74"/>
      <c r="M32" s="37"/>
      <c r="N32" s="6" t="s">
        <v>90</v>
      </c>
      <c r="O32" s="6" t="s">
        <v>427</v>
      </c>
      <c r="P32" s="6" t="s">
        <v>56</v>
      </c>
      <c r="Q32" s="6" t="s">
        <v>37</v>
      </c>
      <c r="R32" s="6" t="s">
        <v>400</v>
      </c>
    </row>
    <row r="33" spans="3:18" ht="19" x14ac:dyDescent="0.25">
      <c r="C33" s="55"/>
      <c r="D33" s="74" t="s">
        <v>405</v>
      </c>
      <c r="E33" s="74"/>
      <c r="F33" s="1" t="s">
        <v>459</v>
      </c>
      <c r="G33" s="1">
        <v>150</v>
      </c>
      <c r="H33" s="1"/>
      <c r="I33" s="1"/>
      <c r="J33" s="74" t="s">
        <v>375</v>
      </c>
      <c r="K33" s="74"/>
      <c r="L33" s="74"/>
      <c r="N33" s="3"/>
      <c r="O33" s="3"/>
      <c r="P33" s="3"/>
      <c r="Q33" s="5"/>
      <c r="R33" s="5"/>
    </row>
    <row r="34" spans="3:18" x14ac:dyDescent="0.2">
      <c r="C34" s="55"/>
      <c r="D34" s="74" t="s">
        <v>408</v>
      </c>
      <c r="E34" s="74"/>
      <c r="F34" s="1" t="s">
        <v>404</v>
      </c>
      <c r="G34" s="1">
        <v>180</v>
      </c>
      <c r="H34" s="1"/>
      <c r="I34" s="1"/>
      <c r="J34" s="74"/>
      <c r="K34" s="74"/>
      <c r="L34" s="74"/>
    </row>
    <row r="35" spans="3:18" x14ac:dyDescent="0.2">
      <c r="C35" s="55"/>
      <c r="D35" s="74" t="s">
        <v>407</v>
      </c>
      <c r="E35" s="74"/>
      <c r="F35" s="1" t="s">
        <v>404</v>
      </c>
      <c r="G35" s="1">
        <v>190</v>
      </c>
      <c r="H35" s="1"/>
      <c r="I35" s="1"/>
      <c r="J35" s="74"/>
      <c r="K35" s="74"/>
      <c r="L35" s="74"/>
    </row>
    <row r="36" spans="3:18" ht="19" x14ac:dyDescent="0.25">
      <c r="C36" s="55"/>
      <c r="D36" s="74" t="s">
        <v>212</v>
      </c>
      <c r="E36" s="74"/>
      <c r="F36" s="1" t="s">
        <v>404</v>
      </c>
      <c r="G36" s="1">
        <v>75</v>
      </c>
      <c r="H36" s="1"/>
      <c r="I36" s="1"/>
      <c r="J36" s="74"/>
      <c r="K36" s="74"/>
      <c r="L36" s="74"/>
      <c r="N36" s="81" t="s">
        <v>57</v>
      </c>
      <c r="O36" s="82"/>
      <c r="P36" s="82"/>
      <c r="Q36" s="83"/>
    </row>
    <row r="37" spans="3:18" ht="19" x14ac:dyDescent="0.25">
      <c r="C37" s="55"/>
      <c r="D37" s="74" t="s">
        <v>406</v>
      </c>
      <c r="E37" s="74"/>
      <c r="F37" s="1" t="s">
        <v>404</v>
      </c>
      <c r="G37" s="1">
        <v>102.5</v>
      </c>
      <c r="H37" s="1"/>
      <c r="I37" s="1"/>
      <c r="J37" s="74" t="s">
        <v>865</v>
      </c>
      <c r="K37" s="74"/>
      <c r="L37" s="74"/>
      <c r="N37" s="6" t="s">
        <v>63</v>
      </c>
      <c r="O37" s="6" t="s">
        <v>53</v>
      </c>
      <c r="P37" s="6" t="s">
        <v>400</v>
      </c>
      <c r="Q37" s="6" t="s">
        <v>456</v>
      </c>
    </row>
    <row r="38" spans="3:18" ht="19" x14ac:dyDescent="0.25">
      <c r="C38" s="55"/>
      <c r="D38" s="74"/>
      <c r="E38" s="74"/>
      <c r="F38" s="1"/>
      <c r="G38" s="1"/>
      <c r="H38" s="1"/>
      <c r="I38" s="1"/>
      <c r="J38" s="74"/>
      <c r="K38" s="74"/>
      <c r="L38" s="74"/>
      <c r="N38" s="5">
        <f>(F10+O21+G43+G62)*R3+O9+P28</f>
        <v>71492.25</v>
      </c>
      <c r="O38" s="5">
        <f>G10+O9+P28+P21+H43+H62+R33</f>
        <v>0</v>
      </c>
      <c r="P38" s="5"/>
      <c r="Q38" s="5">
        <f>P38+O38</f>
        <v>0</v>
      </c>
    </row>
    <row r="39" spans="3:18" x14ac:dyDescent="0.2">
      <c r="C39" s="56"/>
      <c r="D39" s="74"/>
      <c r="E39" s="74"/>
      <c r="F39" s="1"/>
      <c r="G39" s="1"/>
      <c r="H39" s="57"/>
      <c r="I39" s="1"/>
      <c r="J39" s="74"/>
      <c r="K39" s="74"/>
      <c r="L39" s="74"/>
      <c r="N39" s="53"/>
    </row>
    <row r="40" spans="3:18" x14ac:dyDescent="0.2">
      <c r="C40" s="55"/>
      <c r="D40" s="79"/>
      <c r="E40" s="80"/>
      <c r="F40" s="1"/>
      <c r="G40" s="1"/>
      <c r="H40" s="1"/>
      <c r="I40" s="57"/>
      <c r="J40" s="74"/>
      <c r="K40" s="74"/>
      <c r="L40" s="74"/>
    </row>
    <row r="41" spans="3:18" x14ac:dyDescent="0.2">
      <c r="C41" s="56"/>
      <c r="D41" s="67"/>
      <c r="E41" s="68"/>
      <c r="F41" s="57"/>
      <c r="G41" s="57"/>
      <c r="H41" s="57"/>
      <c r="I41" s="57"/>
      <c r="J41" s="74"/>
      <c r="K41" s="74"/>
      <c r="L41" s="74"/>
    </row>
    <row r="42" spans="3:18" ht="19" x14ac:dyDescent="0.25">
      <c r="C42" s="1"/>
      <c r="D42" s="79"/>
      <c r="E42" s="80"/>
      <c r="F42" s="3"/>
      <c r="G42" s="4"/>
      <c r="H42" s="4"/>
      <c r="I42" s="3"/>
      <c r="J42" s="150"/>
      <c r="K42" s="99"/>
      <c r="L42" s="100"/>
    </row>
    <row r="43" spans="3:18" ht="19" x14ac:dyDescent="0.25">
      <c r="C43" s="1"/>
      <c r="D43" s="79"/>
      <c r="E43" s="80"/>
      <c r="F43" s="14"/>
      <c r="G43" s="4">
        <f>SUM(G15:G41)</f>
        <v>1106.5</v>
      </c>
      <c r="H43" s="5">
        <f>SUM(H15:H41)</f>
        <v>0</v>
      </c>
      <c r="I43" s="3">
        <f>SUM(I15:I41)</f>
        <v>2069</v>
      </c>
      <c r="J43" s="151"/>
      <c r="K43" s="101"/>
      <c r="L43" s="102"/>
    </row>
    <row r="44" spans="3:18" x14ac:dyDescent="0.2">
      <c r="C44" s="89"/>
      <c r="D44" s="89"/>
      <c r="E44" s="89"/>
      <c r="F44" s="89"/>
      <c r="G44" s="89"/>
      <c r="H44" s="89"/>
      <c r="I44" s="89"/>
      <c r="J44" s="89"/>
      <c r="K44" s="89"/>
      <c r="L44" s="89"/>
    </row>
    <row r="45" spans="3:18" x14ac:dyDescent="0.2">
      <c r="C45" s="90"/>
      <c r="D45" s="90"/>
      <c r="E45" s="90"/>
      <c r="F45" s="90"/>
      <c r="G45" s="90"/>
      <c r="H45" s="90"/>
      <c r="I45" s="90"/>
      <c r="J45" s="90"/>
      <c r="K45" s="90"/>
      <c r="L45" s="90"/>
    </row>
    <row r="46" spans="3:18" ht="19" x14ac:dyDescent="0.25">
      <c r="C46" s="81" t="s">
        <v>33</v>
      </c>
      <c r="D46" s="82"/>
      <c r="E46" s="82"/>
      <c r="F46" s="82"/>
      <c r="G46" s="82"/>
      <c r="H46" s="82"/>
      <c r="I46" s="82"/>
      <c r="J46" s="82"/>
      <c r="K46" s="82"/>
      <c r="L46" s="83"/>
    </row>
    <row r="47" spans="3:18" ht="19" x14ac:dyDescent="0.25">
      <c r="C47" s="6" t="s">
        <v>20</v>
      </c>
      <c r="D47" s="6" t="s">
        <v>65</v>
      </c>
      <c r="E47" s="6" t="s">
        <v>66</v>
      </c>
      <c r="F47" s="6" t="s">
        <v>196</v>
      </c>
      <c r="G47" s="6" t="s">
        <v>362</v>
      </c>
      <c r="H47" s="6" t="s">
        <v>53</v>
      </c>
      <c r="I47" s="6" t="s">
        <v>195</v>
      </c>
      <c r="J47" s="116" t="s">
        <v>7</v>
      </c>
      <c r="K47" s="117"/>
      <c r="L47" s="149"/>
    </row>
    <row r="48" spans="3:18" x14ac:dyDescent="0.2">
      <c r="C48" s="1"/>
      <c r="D48" s="1" t="s">
        <v>459</v>
      </c>
      <c r="E48" s="1" t="s">
        <v>410</v>
      </c>
      <c r="F48" s="1" t="s">
        <v>219</v>
      </c>
      <c r="G48" s="1">
        <v>0</v>
      </c>
      <c r="H48" s="1"/>
      <c r="I48" s="1"/>
      <c r="J48" s="74" t="s">
        <v>375</v>
      </c>
      <c r="K48" s="74"/>
      <c r="L48" s="74"/>
    </row>
    <row r="49" spans="3:12" x14ac:dyDescent="0.2">
      <c r="C49" s="1"/>
      <c r="D49" s="1" t="s">
        <v>410</v>
      </c>
      <c r="E49" s="1" t="s">
        <v>459</v>
      </c>
      <c r="F49" s="1"/>
      <c r="G49" s="1">
        <v>0</v>
      </c>
      <c r="H49" s="1"/>
      <c r="I49" s="1"/>
      <c r="J49" s="74" t="s">
        <v>375</v>
      </c>
      <c r="K49" s="74"/>
      <c r="L49" s="74"/>
    </row>
    <row r="50" spans="3:12" x14ac:dyDescent="0.2">
      <c r="C50" s="1"/>
      <c r="D50" s="1" t="s">
        <v>459</v>
      </c>
      <c r="E50" s="1" t="s">
        <v>412</v>
      </c>
      <c r="F50" s="1"/>
      <c r="G50" s="1">
        <v>0</v>
      </c>
      <c r="H50" s="1"/>
      <c r="I50" s="1"/>
      <c r="J50" s="74" t="s">
        <v>375</v>
      </c>
      <c r="K50" s="74"/>
      <c r="L50" s="74"/>
    </row>
    <row r="51" spans="3:12" x14ac:dyDescent="0.2">
      <c r="C51" s="1"/>
      <c r="D51" s="1" t="s">
        <v>412</v>
      </c>
      <c r="E51" s="1" t="s">
        <v>459</v>
      </c>
      <c r="F51" s="1"/>
      <c r="G51" s="1">
        <v>0</v>
      </c>
      <c r="H51" s="1"/>
      <c r="I51" s="1"/>
      <c r="J51" s="74" t="s">
        <v>375</v>
      </c>
      <c r="K51" s="74"/>
      <c r="L51" s="74"/>
    </row>
    <row r="52" spans="3:12" x14ac:dyDescent="0.2">
      <c r="C52" s="1"/>
      <c r="D52" s="1" t="s">
        <v>459</v>
      </c>
      <c r="E52" s="1" t="s">
        <v>411</v>
      </c>
      <c r="F52" s="1" t="s">
        <v>219</v>
      </c>
      <c r="G52" s="1">
        <v>0</v>
      </c>
      <c r="H52" s="1"/>
      <c r="I52" s="1"/>
      <c r="J52" s="74" t="s">
        <v>375</v>
      </c>
      <c r="K52" s="74"/>
      <c r="L52" s="74"/>
    </row>
    <row r="53" spans="3:12" x14ac:dyDescent="0.2">
      <c r="C53" s="1"/>
      <c r="D53" s="1" t="s">
        <v>411</v>
      </c>
      <c r="E53" s="1" t="s">
        <v>459</v>
      </c>
      <c r="F53" s="1"/>
      <c r="G53" s="1">
        <v>0</v>
      </c>
      <c r="H53" s="1"/>
      <c r="I53" s="1"/>
      <c r="J53" s="74" t="s">
        <v>375</v>
      </c>
      <c r="K53" s="74"/>
      <c r="L53" s="74"/>
    </row>
    <row r="54" spans="3:12" x14ac:dyDescent="0.2">
      <c r="C54" s="27">
        <v>46171</v>
      </c>
      <c r="D54" s="1" t="s">
        <v>459</v>
      </c>
      <c r="E54" s="1" t="s">
        <v>404</v>
      </c>
      <c r="F54" s="1" t="s">
        <v>190</v>
      </c>
      <c r="G54" s="1">
        <v>106</v>
      </c>
      <c r="H54" s="1"/>
      <c r="I54" s="1" t="s">
        <v>507</v>
      </c>
      <c r="J54" s="74" t="s">
        <v>508</v>
      </c>
      <c r="K54" s="74"/>
      <c r="L54" s="74"/>
    </row>
    <row r="55" spans="3:12" x14ac:dyDescent="0.2">
      <c r="C55" s="27">
        <v>46173</v>
      </c>
      <c r="D55" s="1" t="s">
        <v>404</v>
      </c>
      <c r="E55" s="1" t="s">
        <v>409</v>
      </c>
      <c r="F55" s="1" t="s">
        <v>190</v>
      </c>
      <c r="G55" s="1">
        <v>49</v>
      </c>
      <c r="H55" s="1"/>
      <c r="I55" s="1" t="s">
        <v>509</v>
      </c>
      <c r="J55" s="74" t="s">
        <v>508</v>
      </c>
      <c r="K55" s="74"/>
      <c r="L55" s="74"/>
    </row>
    <row r="56" spans="3:12" x14ac:dyDescent="0.2">
      <c r="C56" s="27">
        <v>46173</v>
      </c>
      <c r="D56" s="1" t="s">
        <v>409</v>
      </c>
      <c r="E56" s="1" t="s">
        <v>404</v>
      </c>
      <c r="F56" s="54" t="s">
        <v>190</v>
      </c>
      <c r="G56" s="1">
        <v>56</v>
      </c>
      <c r="H56" s="1"/>
      <c r="I56" s="1" t="s">
        <v>510</v>
      </c>
      <c r="J56" s="74" t="s">
        <v>508</v>
      </c>
      <c r="K56" s="74"/>
      <c r="L56" s="74"/>
    </row>
    <row r="57" spans="3:12" x14ac:dyDescent="0.2">
      <c r="C57" s="27">
        <v>46174</v>
      </c>
      <c r="D57" s="1" t="s">
        <v>404</v>
      </c>
      <c r="E57" s="1" t="s">
        <v>459</v>
      </c>
      <c r="F57" s="1" t="s">
        <v>190</v>
      </c>
      <c r="G57" s="1">
        <v>106</v>
      </c>
      <c r="H57" s="1"/>
      <c r="I57" s="1" t="s">
        <v>511</v>
      </c>
      <c r="J57" s="74" t="s">
        <v>508</v>
      </c>
      <c r="K57" s="74"/>
      <c r="L57" s="74"/>
    </row>
    <row r="58" spans="3:12" x14ac:dyDescent="0.2">
      <c r="C58" s="27"/>
      <c r="D58" s="1"/>
      <c r="E58" s="1"/>
      <c r="F58" s="1"/>
      <c r="G58" s="1"/>
      <c r="H58" s="1"/>
      <c r="I58" s="1"/>
      <c r="J58" s="74"/>
      <c r="K58" s="74"/>
      <c r="L58" s="74"/>
    </row>
    <row r="59" spans="3:12" x14ac:dyDescent="0.2">
      <c r="C59" s="27"/>
      <c r="D59" s="1"/>
      <c r="E59" s="1"/>
      <c r="F59" s="1"/>
      <c r="G59" s="1"/>
      <c r="H59" s="1"/>
      <c r="I59" s="1"/>
      <c r="J59" s="74"/>
      <c r="K59" s="74"/>
      <c r="L59" s="74"/>
    </row>
    <row r="60" spans="3:12" x14ac:dyDescent="0.2">
      <c r="C60" s="1"/>
      <c r="D60" s="1"/>
      <c r="E60" s="1"/>
      <c r="F60" s="1"/>
      <c r="G60" s="1"/>
      <c r="H60" s="1"/>
      <c r="I60" s="1"/>
      <c r="J60" s="74"/>
      <c r="K60" s="74"/>
      <c r="L60" s="74"/>
    </row>
    <row r="61" spans="3:12" x14ac:dyDescent="0.2">
      <c r="C61" s="1"/>
      <c r="D61" s="1"/>
      <c r="E61" s="1"/>
      <c r="F61" s="1"/>
      <c r="G61" s="1"/>
      <c r="H61" s="1"/>
      <c r="I61" s="1"/>
      <c r="J61" s="74"/>
      <c r="K61" s="74"/>
      <c r="L61" s="74"/>
    </row>
    <row r="62" spans="3:12" ht="19" x14ac:dyDescent="0.25">
      <c r="C62" s="13"/>
      <c r="D62" s="3"/>
      <c r="E62" s="1"/>
      <c r="F62" s="3"/>
      <c r="G62" s="4">
        <f>SUM(G48:G60)</f>
        <v>317</v>
      </c>
      <c r="H62" s="5">
        <f>SUM(H48:H60)</f>
        <v>0</v>
      </c>
      <c r="I62" s="3"/>
      <c r="J62" s="75"/>
      <c r="K62" s="75"/>
      <c r="L62" s="75"/>
    </row>
    <row r="63" spans="3:12" x14ac:dyDescent="0.2">
      <c r="D63" s="38"/>
      <c r="E63" s="38"/>
      <c r="F63" s="38"/>
      <c r="G63" s="38"/>
      <c r="H63" s="38"/>
      <c r="I63" s="38"/>
      <c r="J63" s="38"/>
      <c r="K63" s="38"/>
      <c r="L63" s="38"/>
    </row>
  </sheetData>
  <mergeCells count="109">
    <mergeCell ref="J60:L60"/>
    <mergeCell ref="J61:L61"/>
    <mergeCell ref="J62:L62"/>
    <mergeCell ref="J57:L57"/>
    <mergeCell ref="J58:L58"/>
    <mergeCell ref="J59:L59"/>
    <mergeCell ref="J51:L51"/>
    <mergeCell ref="J52:L52"/>
    <mergeCell ref="J53:L53"/>
    <mergeCell ref="J54:L54"/>
    <mergeCell ref="J55:L55"/>
    <mergeCell ref="J56:L56"/>
    <mergeCell ref="C44:L45"/>
    <mergeCell ref="C46:L46"/>
    <mergeCell ref="J47:L47"/>
    <mergeCell ref="J48:L48"/>
    <mergeCell ref="J49:L49"/>
    <mergeCell ref="J50:L50"/>
    <mergeCell ref="D41:E41"/>
    <mergeCell ref="J41:L41"/>
    <mergeCell ref="D42:E42"/>
    <mergeCell ref="J42:L42"/>
    <mergeCell ref="D43:E43"/>
    <mergeCell ref="J43:L43"/>
    <mergeCell ref="J30:L30"/>
    <mergeCell ref="D31:E31"/>
    <mergeCell ref="J31:L31"/>
    <mergeCell ref="N29:R30"/>
    <mergeCell ref="D40:E40"/>
    <mergeCell ref="J40:L40"/>
    <mergeCell ref="D39:E39"/>
    <mergeCell ref="J39:L39"/>
    <mergeCell ref="D36:E36"/>
    <mergeCell ref="J36:L36"/>
    <mergeCell ref="D37:E37"/>
    <mergeCell ref="J37:L37"/>
    <mergeCell ref="D38:E38"/>
    <mergeCell ref="J38:L38"/>
    <mergeCell ref="N31:R31"/>
    <mergeCell ref="D22:E22"/>
    <mergeCell ref="J22:L22"/>
    <mergeCell ref="Q27:R27"/>
    <mergeCell ref="D23:E23"/>
    <mergeCell ref="J23:L23"/>
    <mergeCell ref="Q28:R28"/>
    <mergeCell ref="Q25:R25"/>
    <mergeCell ref="N36:Q36"/>
    <mergeCell ref="D32:E32"/>
    <mergeCell ref="J32:L32"/>
    <mergeCell ref="D27:E27"/>
    <mergeCell ref="J27:L27"/>
    <mergeCell ref="D28:E28"/>
    <mergeCell ref="J28:L28"/>
    <mergeCell ref="D29:E29"/>
    <mergeCell ref="J29:L29"/>
    <mergeCell ref="D33:E33"/>
    <mergeCell ref="J33:L33"/>
    <mergeCell ref="D34:E34"/>
    <mergeCell ref="J34:L34"/>
    <mergeCell ref="D35:E35"/>
    <mergeCell ref="J35:L35"/>
    <mergeCell ref="D30:E30"/>
    <mergeCell ref="Q26:R26"/>
    <mergeCell ref="D17:E17"/>
    <mergeCell ref="J17:L17"/>
    <mergeCell ref="N22:R23"/>
    <mergeCell ref="D18:E18"/>
    <mergeCell ref="J18:L18"/>
    <mergeCell ref="D19:E19"/>
    <mergeCell ref="J19:L19"/>
    <mergeCell ref="N24:R24"/>
    <mergeCell ref="D24:E24"/>
    <mergeCell ref="J24:L24"/>
    <mergeCell ref="Q20:R20"/>
    <mergeCell ref="D25:E25"/>
    <mergeCell ref="J25:L25"/>
    <mergeCell ref="D26:E26"/>
    <mergeCell ref="J26:L26"/>
    <mergeCell ref="D16:E16"/>
    <mergeCell ref="J16:L16"/>
    <mergeCell ref="Q21:R21"/>
    <mergeCell ref="C11:L12"/>
    <mergeCell ref="Q16:R16"/>
    <mergeCell ref="Q17:R17"/>
    <mergeCell ref="C13:L13"/>
    <mergeCell ref="Q18:R18"/>
    <mergeCell ref="D14:E14"/>
    <mergeCell ref="J14:L14"/>
    <mergeCell ref="Q19:R19"/>
    <mergeCell ref="N12:R12"/>
    <mergeCell ref="D20:E20"/>
    <mergeCell ref="J20:L20"/>
    <mergeCell ref="D21:E21"/>
    <mergeCell ref="J21:L21"/>
    <mergeCell ref="I8:K8"/>
    <mergeCell ref="Q13:R13"/>
    <mergeCell ref="I9:K9"/>
    <mergeCell ref="Q14:R14"/>
    <mergeCell ref="I10:K10"/>
    <mergeCell ref="Q15:R15"/>
    <mergeCell ref="I7:K7"/>
    <mergeCell ref="B2:L2"/>
    <mergeCell ref="N2:P2"/>
    <mergeCell ref="I3:K3"/>
    <mergeCell ref="I4:K4"/>
    <mergeCell ref="I5:K5"/>
    <mergeCell ref="I6:K6"/>
    <mergeCell ref="D15:E15"/>
    <mergeCell ref="J15:L15"/>
  </mergeCell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AC63-321A-A542-939A-C9F287E6F7A4}">
  <dimension ref="B2:R67"/>
  <sheetViews>
    <sheetView topLeftCell="A51" zoomScale="110" zoomScaleNormal="110" workbookViewId="0">
      <selection activeCell="J22" sqref="J22:L22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359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10.5</v>
      </c>
    </row>
    <row r="4" spans="2:18" ht="19" x14ac:dyDescent="0.25">
      <c r="B4" s="13">
        <v>46174</v>
      </c>
      <c r="C4" s="13">
        <v>46175</v>
      </c>
      <c r="D4" s="3" t="s">
        <v>367</v>
      </c>
      <c r="E4" s="3" t="s">
        <v>483</v>
      </c>
      <c r="F4" s="3">
        <v>506</v>
      </c>
      <c r="G4" s="3"/>
      <c r="H4" s="50">
        <f>F4/L4</f>
        <v>506</v>
      </c>
      <c r="I4" s="148"/>
      <c r="J4" s="95"/>
      <c r="K4" s="95"/>
      <c r="L4" s="3">
        <f t="shared" ref="L4:L6" si="0">C4-B4</f>
        <v>1</v>
      </c>
      <c r="N4" s="3"/>
      <c r="O4" s="3"/>
      <c r="P4" s="3"/>
    </row>
    <row r="5" spans="2:18" ht="19" x14ac:dyDescent="0.25">
      <c r="B5" s="13">
        <v>46175</v>
      </c>
      <c r="C5" s="13">
        <v>46179</v>
      </c>
      <c r="D5" s="3" t="s">
        <v>360</v>
      </c>
      <c r="E5" s="3" t="s">
        <v>555</v>
      </c>
      <c r="F5" s="3">
        <v>1300</v>
      </c>
      <c r="G5" s="3"/>
      <c r="H5" s="50">
        <f>F5/L5</f>
        <v>325</v>
      </c>
      <c r="I5" s="148"/>
      <c r="J5" s="95"/>
      <c r="K5" s="95"/>
      <c r="L5" s="3">
        <f t="shared" si="0"/>
        <v>4</v>
      </c>
      <c r="N5" s="3"/>
      <c r="O5" s="3"/>
      <c r="P5" s="3"/>
    </row>
    <row r="6" spans="2:18" ht="19" x14ac:dyDescent="0.25">
      <c r="B6" s="13">
        <v>46165</v>
      </c>
      <c r="C6" s="13">
        <v>46174</v>
      </c>
      <c r="D6" s="3" t="s">
        <v>358</v>
      </c>
      <c r="E6" s="3" t="s">
        <v>554</v>
      </c>
      <c r="F6" s="3">
        <v>2790</v>
      </c>
      <c r="G6" s="3"/>
      <c r="H6" s="50">
        <f t="shared" ref="H6" si="1">F6/L6</f>
        <v>310</v>
      </c>
      <c r="I6" s="148"/>
      <c r="J6" s="95"/>
      <c r="K6" s="95"/>
      <c r="L6" s="3">
        <f t="shared" si="0"/>
        <v>9</v>
      </c>
      <c r="N6" s="3"/>
      <c r="O6" s="3"/>
      <c r="P6" s="3"/>
    </row>
    <row r="7" spans="2:18" ht="19" x14ac:dyDescent="0.25">
      <c r="B7" s="63"/>
      <c r="C7" s="64"/>
      <c r="D7" s="65"/>
      <c r="E7" s="65"/>
      <c r="F7" s="65"/>
      <c r="G7" s="65"/>
      <c r="H7" s="66"/>
      <c r="I7" s="145"/>
      <c r="J7" s="146"/>
      <c r="K7" s="147"/>
      <c r="L7" s="65"/>
      <c r="N7" s="3"/>
      <c r="O7" s="3"/>
      <c r="P7" s="1"/>
    </row>
    <row r="8" spans="2:18" ht="19" x14ac:dyDescent="0.25">
      <c r="B8" s="63"/>
      <c r="C8" s="64"/>
      <c r="D8" s="65"/>
      <c r="E8" s="65"/>
      <c r="F8" s="65"/>
      <c r="G8" s="65"/>
      <c r="H8" s="66"/>
      <c r="I8" s="145"/>
      <c r="J8" s="146"/>
      <c r="K8" s="147"/>
      <c r="L8" s="65"/>
      <c r="N8" s="3"/>
      <c r="O8" s="3"/>
      <c r="P8" s="1"/>
    </row>
    <row r="9" spans="2:18" ht="19" x14ac:dyDescent="0.25">
      <c r="B9" s="13"/>
      <c r="C9" s="13"/>
      <c r="D9" s="3"/>
      <c r="E9" s="3"/>
      <c r="F9" s="3"/>
      <c r="G9" s="3"/>
      <c r="H9" s="50"/>
      <c r="I9" s="93"/>
      <c r="J9" s="94"/>
      <c r="K9" s="108"/>
      <c r="L9" s="3"/>
      <c r="N9" s="1"/>
      <c r="O9" s="5">
        <f>SUM(O4:O8)</f>
        <v>0</v>
      </c>
      <c r="P9" s="1"/>
    </row>
    <row r="10" spans="2:18" ht="19" x14ac:dyDescent="0.25">
      <c r="B10" s="13"/>
      <c r="C10" s="13"/>
      <c r="D10" s="3"/>
      <c r="E10" s="3"/>
      <c r="F10" s="3"/>
      <c r="G10" s="3"/>
      <c r="H10" s="50"/>
      <c r="I10" s="113"/>
      <c r="J10" s="114"/>
      <c r="K10" s="115"/>
      <c r="L10" s="3"/>
    </row>
    <row r="11" spans="2:18" ht="19" x14ac:dyDescent="0.25">
      <c r="B11" s="2"/>
      <c r="C11" s="2"/>
      <c r="D11" s="3"/>
      <c r="E11" s="3"/>
      <c r="F11" s="3">
        <f>SUM(F4:F9)</f>
        <v>4596</v>
      </c>
      <c r="G11" s="5">
        <f>SUM(G4:G9)</f>
        <v>0</v>
      </c>
      <c r="H11" s="50">
        <f>F11/L11</f>
        <v>328.28571428571428</v>
      </c>
      <c r="I11" s="95"/>
      <c r="J11" s="95"/>
      <c r="K11" s="95"/>
      <c r="L11" s="3">
        <f>SUM(L4:L9)</f>
        <v>14</v>
      </c>
    </row>
    <row r="12" spans="2:18" ht="19" x14ac:dyDescent="0.25">
      <c r="B12" s="38"/>
      <c r="C12" s="89"/>
      <c r="D12" s="89"/>
      <c r="E12" s="89"/>
      <c r="F12" s="89"/>
      <c r="G12" s="89"/>
      <c r="H12" s="89"/>
      <c r="I12" s="89"/>
      <c r="J12" s="89"/>
      <c r="K12" s="89"/>
      <c r="L12" s="89"/>
      <c r="N12" s="81" t="s">
        <v>69</v>
      </c>
      <c r="O12" s="82"/>
      <c r="P12" s="82"/>
      <c r="Q12" s="82"/>
      <c r="R12" s="83"/>
    </row>
    <row r="13" spans="2:18" ht="19" x14ac:dyDescent="0.25">
      <c r="C13" s="90"/>
      <c r="D13" s="90"/>
      <c r="E13" s="90"/>
      <c r="F13" s="90"/>
      <c r="G13" s="90"/>
      <c r="H13" s="90"/>
      <c r="I13" s="90"/>
      <c r="J13" s="90"/>
      <c r="K13" s="90"/>
      <c r="L13" s="90"/>
      <c r="N13" s="6" t="s">
        <v>45</v>
      </c>
      <c r="O13" s="6" t="s">
        <v>359</v>
      </c>
      <c r="P13" s="6" t="s">
        <v>53</v>
      </c>
      <c r="Q13" s="77" t="s">
        <v>7</v>
      </c>
      <c r="R13" s="78"/>
    </row>
    <row r="14" spans="2:18" ht="19" x14ac:dyDescent="0.25">
      <c r="C14" s="96" t="s">
        <v>68</v>
      </c>
      <c r="D14" s="96"/>
      <c r="E14" s="96"/>
      <c r="F14" s="96"/>
      <c r="G14" s="96"/>
      <c r="H14" s="96"/>
      <c r="I14" s="96"/>
      <c r="J14" s="96"/>
      <c r="K14" s="96"/>
      <c r="L14" s="96"/>
      <c r="N14" s="3" t="s">
        <v>517</v>
      </c>
      <c r="O14" s="3">
        <v>300</v>
      </c>
      <c r="P14" s="3"/>
      <c r="Q14" s="84"/>
      <c r="R14" s="85"/>
    </row>
    <row r="15" spans="2:18" ht="19" x14ac:dyDescent="0.25">
      <c r="C15" s="12" t="s">
        <v>20</v>
      </c>
      <c r="D15" s="98" t="s">
        <v>2</v>
      </c>
      <c r="E15" s="98"/>
      <c r="F15" s="12" t="s">
        <v>21</v>
      </c>
      <c r="G15" s="12" t="s">
        <v>359</v>
      </c>
      <c r="H15" s="12" t="s">
        <v>53</v>
      </c>
      <c r="I15" s="6" t="s">
        <v>853</v>
      </c>
      <c r="J15" s="88" t="s">
        <v>7</v>
      </c>
      <c r="K15" s="88"/>
      <c r="L15" s="78"/>
      <c r="N15" s="3" t="s">
        <v>481</v>
      </c>
      <c r="O15" s="3">
        <v>240</v>
      </c>
      <c r="P15" s="3"/>
      <c r="Q15" s="84" t="s">
        <v>500</v>
      </c>
      <c r="R15" s="85"/>
    </row>
    <row r="16" spans="2:18" ht="19" x14ac:dyDescent="0.25">
      <c r="C16" s="55"/>
      <c r="D16" s="74" t="s">
        <v>482</v>
      </c>
      <c r="E16" s="74"/>
      <c r="F16" s="1" t="s">
        <v>367</v>
      </c>
      <c r="G16" s="1">
        <v>150</v>
      </c>
      <c r="H16" s="1">
        <v>150</v>
      </c>
      <c r="I16" s="1">
        <v>75</v>
      </c>
      <c r="J16" s="74" t="s">
        <v>517</v>
      </c>
      <c r="K16" s="74"/>
      <c r="L16" s="74"/>
      <c r="N16" s="3" t="s">
        <v>505</v>
      </c>
      <c r="O16" s="3">
        <v>180</v>
      </c>
      <c r="P16" s="3"/>
      <c r="Q16" s="84"/>
      <c r="R16" s="85"/>
    </row>
    <row r="17" spans="3:18" ht="19" x14ac:dyDescent="0.25">
      <c r="C17" s="56"/>
      <c r="D17" s="74" t="s">
        <v>514</v>
      </c>
      <c r="E17" s="74"/>
      <c r="F17" s="1" t="s">
        <v>516</v>
      </c>
      <c r="G17" s="1">
        <v>100</v>
      </c>
      <c r="H17" s="57">
        <v>100</v>
      </c>
      <c r="I17" s="1">
        <v>50</v>
      </c>
      <c r="J17" s="74" t="s">
        <v>517</v>
      </c>
      <c r="K17" s="74"/>
      <c r="L17" s="74"/>
      <c r="N17" s="3" t="s">
        <v>502</v>
      </c>
      <c r="O17" s="3">
        <v>350</v>
      </c>
      <c r="P17" s="3"/>
      <c r="Q17" s="84"/>
      <c r="R17" s="85"/>
    </row>
    <row r="18" spans="3:18" ht="19" x14ac:dyDescent="0.25">
      <c r="C18" s="56"/>
      <c r="D18" s="74" t="s">
        <v>515</v>
      </c>
      <c r="E18" s="74"/>
      <c r="F18" s="1" t="s">
        <v>516</v>
      </c>
      <c r="G18" s="1"/>
      <c r="H18" s="57"/>
      <c r="I18" s="1"/>
      <c r="J18" s="74" t="s">
        <v>517</v>
      </c>
      <c r="K18" s="74"/>
      <c r="L18" s="74"/>
      <c r="N18" s="3"/>
      <c r="O18" s="3"/>
      <c r="P18" s="3"/>
      <c r="Q18" s="84"/>
      <c r="R18" s="85"/>
    </row>
    <row r="19" spans="3:18" ht="19" x14ac:dyDescent="0.25">
      <c r="C19" s="56"/>
      <c r="D19" s="74" t="s">
        <v>469</v>
      </c>
      <c r="E19" s="74"/>
      <c r="F19" s="1" t="s">
        <v>360</v>
      </c>
      <c r="G19" s="1">
        <v>150</v>
      </c>
      <c r="H19" s="57">
        <v>150</v>
      </c>
      <c r="I19" s="1">
        <v>75</v>
      </c>
      <c r="J19" s="74" t="s">
        <v>517</v>
      </c>
      <c r="K19" s="74"/>
      <c r="L19" s="74"/>
      <c r="N19" s="3"/>
      <c r="O19" s="3"/>
      <c r="P19" s="3"/>
      <c r="Q19" s="84"/>
      <c r="R19" s="85"/>
    </row>
    <row r="20" spans="3:18" ht="19" x14ac:dyDescent="0.25">
      <c r="C20" s="56"/>
      <c r="D20" s="74" t="s">
        <v>468</v>
      </c>
      <c r="E20" s="74"/>
      <c r="F20" s="1" t="s">
        <v>360</v>
      </c>
      <c r="G20" s="1">
        <v>269</v>
      </c>
      <c r="H20" s="57">
        <v>269</v>
      </c>
      <c r="I20" s="1">
        <v>269</v>
      </c>
      <c r="J20" s="74"/>
      <c r="K20" s="74"/>
      <c r="L20" s="74"/>
      <c r="N20" s="3"/>
      <c r="O20" s="4"/>
      <c r="P20" s="4"/>
      <c r="Q20" s="84"/>
      <c r="R20" s="85"/>
    </row>
    <row r="21" spans="3:18" ht="19" x14ac:dyDescent="0.25">
      <c r="C21" s="56"/>
      <c r="D21" s="74" t="s">
        <v>471</v>
      </c>
      <c r="E21" s="74"/>
      <c r="F21" s="1" t="s">
        <v>360</v>
      </c>
      <c r="G21" s="1">
        <v>75</v>
      </c>
      <c r="H21" s="57">
        <v>75</v>
      </c>
      <c r="I21" s="1">
        <v>37.5</v>
      </c>
      <c r="J21" s="74" t="s">
        <v>517</v>
      </c>
      <c r="K21" s="74"/>
      <c r="L21" s="74"/>
      <c r="N21" s="3"/>
      <c r="O21" s="15">
        <f>SUM(O14:O20)</f>
        <v>1070</v>
      </c>
      <c r="P21" s="5">
        <f>SUM(P14:P18)</f>
        <v>0</v>
      </c>
      <c r="Q21" s="86"/>
      <c r="R21" s="87"/>
    </row>
    <row r="22" spans="3:18" x14ac:dyDescent="0.2">
      <c r="C22" s="56"/>
      <c r="D22" s="74" t="s">
        <v>470</v>
      </c>
      <c r="E22" s="74"/>
      <c r="F22" s="1" t="s">
        <v>360</v>
      </c>
      <c r="G22" s="1">
        <v>75</v>
      </c>
      <c r="H22" s="57">
        <v>75</v>
      </c>
      <c r="I22" s="1">
        <v>37.5</v>
      </c>
      <c r="J22" s="74" t="s">
        <v>517</v>
      </c>
      <c r="K22" s="74"/>
      <c r="L22" s="74"/>
      <c r="N22" s="89"/>
      <c r="O22" s="89"/>
      <c r="P22" s="89"/>
      <c r="Q22" s="89"/>
      <c r="R22" s="89"/>
    </row>
    <row r="23" spans="3:18" x14ac:dyDescent="0.2">
      <c r="C23" s="56"/>
      <c r="D23" s="74" t="s">
        <v>472</v>
      </c>
      <c r="E23" s="74"/>
      <c r="F23" s="1" t="s">
        <v>360</v>
      </c>
      <c r="G23" s="1">
        <v>75</v>
      </c>
      <c r="H23" s="57">
        <v>75</v>
      </c>
      <c r="I23" s="1">
        <v>37.5</v>
      </c>
      <c r="J23" s="74" t="s">
        <v>517</v>
      </c>
      <c r="K23" s="74"/>
      <c r="L23" s="74"/>
      <c r="N23" s="90"/>
      <c r="O23" s="90"/>
      <c r="P23" s="90"/>
      <c r="Q23" s="90"/>
      <c r="R23" s="90"/>
    </row>
    <row r="24" spans="3:18" ht="19" x14ac:dyDescent="0.25">
      <c r="C24" s="56"/>
      <c r="D24" s="74" t="s">
        <v>485</v>
      </c>
      <c r="E24" s="74"/>
      <c r="F24" s="1" t="s">
        <v>358</v>
      </c>
      <c r="G24" s="1">
        <v>120</v>
      </c>
      <c r="H24" s="57"/>
      <c r="I24" s="1">
        <v>60</v>
      </c>
      <c r="J24" s="74" t="s">
        <v>867</v>
      </c>
      <c r="K24" s="74"/>
      <c r="L24" s="74"/>
      <c r="N24" s="81" t="s">
        <v>38</v>
      </c>
      <c r="O24" s="82"/>
      <c r="P24" s="82"/>
      <c r="Q24" s="82"/>
      <c r="R24" s="82"/>
    </row>
    <row r="25" spans="3:18" ht="19" x14ac:dyDescent="0.25">
      <c r="C25" s="56"/>
      <c r="D25" s="74" t="s">
        <v>476</v>
      </c>
      <c r="E25" s="74"/>
      <c r="F25" s="1" t="s">
        <v>358</v>
      </c>
      <c r="G25" s="1">
        <v>65</v>
      </c>
      <c r="H25" s="57"/>
      <c r="I25" s="1">
        <v>32.5</v>
      </c>
      <c r="J25" s="74" t="s">
        <v>867</v>
      </c>
      <c r="K25" s="74"/>
      <c r="L25" s="74"/>
      <c r="N25" s="6" t="s">
        <v>20</v>
      </c>
      <c r="O25" s="6" t="s">
        <v>32</v>
      </c>
      <c r="P25" s="6" t="s">
        <v>4</v>
      </c>
      <c r="Q25" s="77" t="s">
        <v>7</v>
      </c>
      <c r="R25" s="88"/>
    </row>
    <row r="26" spans="3:18" ht="19" x14ac:dyDescent="0.25">
      <c r="C26" s="56"/>
      <c r="D26" s="74" t="s">
        <v>486</v>
      </c>
      <c r="E26" s="74"/>
      <c r="F26" s="1" t="s">
        <v>358</v>
      </c>
      <c r="G26" s="1">
        <v>180</v>
      </c>
      <c r="H26" s="57"/>
      <c r="I26" s="1">
        <v>90</v>
      </c>
      <c r="J26" s="74" t="s">
        <v>867</v>
      </c>
      <c r="K26" s="74"/>
      <c r="L26" s="74"/>
      <c r="N26" s="13"/>
      <c r="O26" s="3"/>
      <c r="P26" s="3"/>
      <c r="Q26" s="84"/>
      <c r="R26" s="85"/>
    </row>
    <row r="27" spans="3:18" ht="19" x14ac:dyDescent="0.25">
      <c r="C27" s="56"/>
      <c r="D27" s="74" t="s">
        <v>366</v>
      </c>
      <c r="E27" s="74"/>
      <c r="F27" s="1" t="s">
        <v>358</v>
      </c>
      <c r="G27" s="1">
        <v>230</v>
      </c>
      <c r="H27" s="57"/>
      <c r="I27" s="1">
        <v>230</v>
      </c>
      <c r="J27" s="74" t="s">
        <v>498</v>
      </c>
      <c r="K27" s="74"/>
      <c r="L27" s="74"/>
      <c r="N27" s="13"/>
      <c r="O27" s="3"/>
      <c r="P27" s="3"/>
      <c r="Q27" s="84"/>
      <c r="R27" s="85"/>
    </row>
    <row r="28" spans="3:18" ht="19" x14ac:dyDescent="0.25">
      <c r="C28" s="56"/>
      <c r="D28" s="74" t="s">
        <v>503</v>
      </c>
      <c r="E28" s="74"/>
      <c r="F28" s="1" t="s">
        <v>358</v>
      </c>
      <c r="G28" s="1">
        <v>165</v>
      </c>
      <c r="H28" s="57"/>
      <c r="I28" s="1">
        <v>230</v>
      </c>
      <c r="J28" s="74" t="s">
        <v>498</v>
      </c>
      <c r="K28" s="74"/>
      <c r="L28" s="74"/>
      <c r="N28" s="3"/>
      <c r="O28" s="3"/>
      <c r="P28" s="5">
        <f>P26+P27</f>
        <v>0</v>
      </c>
      <c r="Q28" s="84"/>
      <c r="R28" s="85"/>
    </row>
    <row r="29" spans="3:18" x14ac:dyDescent="0.2">
      <c r="C29" s="56"/>
      <c r="D29" s="74" t="s">
        <v>473</v>
      </c>
      <c r="E29" s="74"/>
      <c r="F29" s="1" t="s">
        <v>358</v>
      </c>
      <c r="G29" s="1">
        <v>305</v>
      </c>
      <c r="H29" s="57"/>
      <c r="I29" s="1">
        <v>305</v>
      </c>
      <c r="J29" s="74" t="s">
        <v>498</v>
      </c>
      <c r="K29" s="74"/>
      <c r="L29" s="74"/>
      <c r="N29" s="89"/>
      <c r="O29" s="89"/>
      <c r="P29" s="89"/>
      <c r="Q29" s="89"/>
      <c r="R29" s="89"/>
    </row>
    <row r="30" spans="3:18" x14ac:dyDescent="0.2">
      <c r="C30" s="56"/>
      <c r="D30" s="152" t="s">
        <v>488</v>
      </c>
      <c r="E30" s="153"/>
      <c r="F30" s="32" t="s">
        <v>358</v>
      </c>
      <c r="G30" s="32">
        <v>170</v>
      </c>
      <c r="H30" s="57"/>
      <c r="I30" s="1">
        <v>85</v>
      </c>
      <c r="J30" s="74" t="s">
        <v>867</v>
      </c>
      <c r="K30" s="74"/>
      <c r="L30" s="74"/>
      <c r="N30" s="90"/>
      <c r="O30" s="90"/>
      <c r="P30" s="90"/>
      <c r="Q30" s="90"/>
      <c r="R30" s="90"/>
    </row>
    <row r="31" spans="3:18" ht="19" x14ac:dyDescent="0.25">
      <c r="C31" s="55"/>
      <c r="D31" s="74" t="s">
        <v>475</v>
      </c>
      <c r="E31" s="74"/>
      <c r="F31" s="1" t="s">
        <v>358</v>
      </c>
      <c r="G31" s="1">
        <v>240</v>
      </c>
      <c r="H31" s="1"/>
      <c r="I31" s="1">
        <v>120</v>
      </c>
      <c r="J31" s="74" t="s">
        <v>868</v>
      </c>
      <c r="K31" s="74"/>
      <c r="L31" s="74"/>
      <c r="N31" s="81" t="s">
        <v>55</v>
      </c>
      <c r="O31" s="82"/>
      <c r="P31" s="82"/>
      <c r="Q31" s="82"/>
      <c r="R31" s="83"/>
    </row>
    <row r="32" spans="3:18" ht="19" x14ac:dyDescent="0.25">
      <c r="C32" s="55"/>
      <c r="D32" s="74" t="s">
        <v>363</v>
      </c>
      <c r="E32" s="74"/>
      <c r="F32" s="1" t="s">
        <v>358</v>
      </c>
      <c r="G32" s="1">
        <v>160</v>
      </c>
      <c r="H32" s="1"/>
      <c r="I32" s="1">
        <v>160</v>
      </c>
      <c r="J32" s="74" t="s">
        <v>498</v>
      </c>
      <c r="K32" s="74"/>
      <c r="L32" s="74"/>
      <c r="M32" s="37"/>
      <c r="N32" s="6" t="s">
        <v>90</v>
      </c>
      <c r="O32" s="6" t="s">
        <v>427</v>
      </c>
      <c r="P32" s="6" t="s">
        <v>56</v>
      </c>
      <c r="Q32" s="6" t="s">
        <v>37</v>
      </c>
      <c r="R32" s="6" t="s">
        <v>400</v>
      </c>
    </row>
    <row r="33" spans="3:18" ht="19" x14ac:dyDescent="0.25">
      <c r="C33" s="55"/>
      <c r="D33" s="74" t="s">
        <v>489</v>
      </c>
      <c r="E33" s="74"/>
      <c r="F33" s="1" t="s">
        <v>490</v>
      </c>
      <c r="G33" s="1">
        <v>170</v>
      </c>
      <c r="H33" s="1"/>
      <c r="I33" s="1">
        <v>85</v>
      </c>
      <c r="J33" s="74" t="s">
        <v>867</v>
      </c>
      <c r="K33" s="74"/>
      <c r="L33" s="74"/>
      <c r="N33" s="3"/>
      <c r="O33" s="3"/>
      <c r="P33" s="3"/>
      <c r="Q33" s="5"/>
      <c r="R33" s="5"/>
    </row>
    <row r="34" spans="3:18" x14ac:dyDescent="0.2">
      <c r="C34" s="55"/>
      <c r="D34" s="74" t="s">
        <v>504</v>
      </c>
      <c r="E34" s="74"/>
      <c r="F34" s="1" t="s">
        <v>358</v>
      </c>
      <c r="G34" s="1">
        <v>0</v>
      </c>
      <c r="H34" s="1"/>
      <c r="I34" s="1"/>
      <c r="J34" s="74" t="s">
        <v>517</v>
      </c>
      <c r="K34" s="74"/>
      <c r="L34" s="74"/>
    </row>
    <row r="35" spans="3:18" x14ac:dyDescent="0.2">
      <c r="C35" s="55"/>
      <c r="D35" s="74" t="s">
        <v>352</v>
      </c>
      <c r="E35" s="74"/>
      <c r="F35" s="1" t="s">
        <v>358</v>
      </c>
      <c r="G35" s="1">
        <v>195</v>
      </c>
      <c r="H35" s="1"/>
      <c r="I35" s="1">
        <v>195</v>
      </c>
      <c r="J35" s="74" t="s">
        <v>498</v>
      </c>
      <c r="K35" s="74"/>
      <c r="L35" s="74"/>
    </row>
    <row r="36" spans="3:18" ht="19" x14ac:dyDescent="0.25">
      <c r="C36" s="55"/>
      <c r="D36" s="74" t="s">
        <v>474</v>
      </c>
      <c r="E36" s="74"/>
      <c r="F36" s="1" t="s">
        <v>358</v>
      </c>
      <c r="G36" s="1">
        <v>180</v>
      </c>
      <c r="H36" s="1"/>
      <c r="I36" s="1">
        <v>90</v>
      </c>
      <c r="J36" s="74" t="s">
        <v>867</v>
      </c>
      <c r="K36" s="74"/>
      <c r="L36" s="74"/>
      <c r="N36" s="81" t="s">
        <v>57</v>
      </c>
      <c r="O36" s="82"/>
      <c r="P36" s="82"/>
      <c r="Q36" s="83"/>
    </row>
    <row r="37" spans="3:18" ht="19" x14ac:dyDescent="0.25">
      <c r="C37" s="55"/>
      <c r="D37" s="74" t="s">
        <v>364</v>
      </c>
      <c r="E37" s="74"/>
      <c r="F37" s="1" t="s">
        <v>358</v>
      </c>
      <c r="G37" s="1">
        <v>160</v>
      </c>
      <c r="H37" s="1"/>
      <c r="I37" s="1">
        <v>160</v>
      </c>
      <c r="J37" s="74" t="s">
        <v>498</v>
      </c>
      <c r="K37" s="74"/>
      <c r="L37" s="74"/>
      <c r="N37" s="6" t="s">
        <v>63</v>
      </c>
      <c r="O37" s="6" t="s">
        <v>53</v>
      </c>
      <c r="P37" s="6" t="s">
        <v>400</v>
      </c>
      <c r="Q37" s="6" t="s">
        <v>456</v>
      </c>
    </row>
    <row r="38" spans="3:18" ht="19" x14ac:dyDescent="0.25">
      <c r="C38" s="55"/>
      <c r="D38" s="74" t="s">
        <v>487</v>
      </c>
      <c r="E38" s="74"/>
      <c r="F38" s="1" t="s">
        <v>358</v>
      </c>
      <c r="G38" s="1">
        <v>170</v>
      </c>
      <c r="H38" s="1"/>
      <c r="I38" s="1">
        <v>160</v>
      </c>
      <c r="J38" s="74" t="s">
        <v>498</v>
      </c>
      <c r="K38" s="74"/>
      <c r="L38" s="74"/>
      <c r="N38" s="5">
        <f>(F11+O21+G47+G66)*R3+O9+P28</f>
        <v>116392.5</v>
      </c>
      <c r="O38" s="5">
        <f>G11+O9+P28+P21+H47+H66+R33</f>
        <v>3293</v>
      </c>
      <c r="P38" s="5"/>
      <c r="Q38" s="5">
        <f>P38+O38</f>
        <v>3293</v>
      </c>
    </row>
    <row r="39" spans="3:18" x14ac:dyDescent="0.2">
      <c r="C39" s="55"/>
      <c r="D39" s="74" t="s">
        <v>491</v>
      </c>
      <c r="E39" s="74"/>
      <c r="F39" s="1" t="s">
        <v>492</v>
      </c>
      <c r="G39" s="1">
        <v>150</v>
      </c>
      <c r="H39" s="1">
        <v>150</v>
      </c>
      <c r="I39" s="1">
        <v>75</v>
      </c>
      <c r="J39" s="74" t="s">
        <v>517</v>
      </c>
      <c r="K39" s="74"/>
      <c r="L39" s="74"/>
      <c r="N39" s="53"/>
    </row>
    <row r="40" spans="3:18" x14ac:dyDescent="0.2">
      <c r="C40" s="55"/>
      <c r="D40" s="74" t="s">
        <v>477</v>
      </c>
      <c r="E40" s="74"/>
      <c r="F40" s="1" t="s">
        <v>358</v>
      </c>
      <c r="G40" s="1">
        <v>150</v>
      </c>
      <c r="H40" s="1">
        <v>150</v>
      </c>
      <c r="I40" s="1">
        <v>150</v>
      </c>
      <c r="J40" s="74"/>
      <c r="K40" s="74"/>
      <c r="L40" s="74"/>
    </row>
    <row r="41" spans="3:18" x14ac:dyDescent="0.2">
      <c r="C41" s="55"/>
      <c r="D41" s="74" t="s">
        <v>365</v>
      </c>
      <c r="E41" s="74"/>
      <c r="F41" s="1" t="s">
        <v>358</v>
      </c>
      <c r="G41" s="1">
        <v>100</v>
      </c>
      <c r="H41" s="1">
        <v>100</v>
      </c>
      <c r="I41" s="1">
        <v>100</v>
      </c>
      <c r="J41" s="74"/>
      <c r="K41" s="74"/>
      <c r="L41" s="74"/>
    </row>
    <row r="42" spans="3:18" x14ac:dyDescent="0.2">
      <c r="C42" s="55"/>
      <c r="D42" s="74" t="s">
        <v>493</v>
      </c>
      <c r="E42" s="74"/>
      <c r="F42" s="1" t="s">
        <v>358</v>
      </c>
      <c r="G42" s="1">
        <v>200</v>
      </c>
      <c r="H42" s="1"/>
      <c r="I42" s="1">
        <v>100</v>
      </c>
      <c r="J42" s="74" t="s">
        <v>871</v>
      </c>
      <c r="K42" s="74"/>
      <c r="L42" s="74"/>
    </row>
    <row r="43" spans="3:18" x14ac:dyDescent="0.2">
      <c r="C43" s="56"/>
      <c r="D43" s="79"/>
      <c r="E43" s="80"/>
      <c r="F43" s="1"/>
      <c r="G43" s="1"/>
      <c r="H43" s="57"/>
      <c r="I43" s="1"/>
      <c r="J43" s="74"/>
      <c r="K43" s="74"/>
      <c r="L43" s="74"/>
    </row>
    <row r="44" spans="3:18" x14ac:dyDescent="0.2">
      <c r="C44" s="55"/>
      <c r="D44" s="79"/>
      <c r="E44" s="80"/>
      <c r="F44" s="1"/>
      <c r="G44" s="1"/>
      <c r="H44" s="1">
        <v>1999</v>
      </c>
      <c r="I44" s="57">
        <v>300</v>
      </c>
      <c r="J44" s="74"/>
      <c r="K44" s="74"/>
      <c r="L44" s="74"/>
    </row>
    <row r="45" spans="3:18" x14ac:dyDescent="0.2">
      <c r="C45" s="56"/>
      <c r="D45" s="67"/>
      <c r="E45" s="68"/>
      <c r="F45" s="57"/>
      <c r="G45" s="57"/>
      <c r="H45" s="57"/>
      <c r="I45" s="57"/>
      <c r="J45" s="74"/>
      <c r="K45" s="74"/>
      <c r="L45" s="74"/>
    </row>
    <row r="46" spans="3:18" ht="19" x14ac:dyDescent="0.25">
      <c r="C46" s="1"/>
      <c r="D46" s="79"/>
      <c r="E46" s="80"/>
      <c r="F46" s="3"/>
      <c r="G46" s="4"/>
      <c r="H46" s="4"/>
      <c r="I46" s="3"/>
      <c r="J46" s="150"/>
      <c r="K46" s="99"/>
      <c r="L46" s="100"/>
    </row>
    <row r="47" spans="3:18" ht="19" x14ac:dyDescent="0.25">
      <c r="C47" s="1"/>
      <c r="D47" s="79"/>
      <c r="E47" s="80"/>
      <c r="F47" s="14"/>
      <c r="G47" s="4">
        <f>SUM(G16:G45)</f>
        <v>4004</v>
      </c>
      <c r="H47" s="5">
        <f>SUM(H16:H45)</f>
        <v>3293</v>
      </c>
      <c r="I47" s="3">
        <f>SUM(I16:I45)</f>
        <v>3309</v>
      </c>
      <c r="J47" s="151"/>
      <c r="K47" s="101"/>
      <c r="L47" s="102"/>
    </row>
    <row r="48" spans="3:18" x14ac:dyDescent="0.2">
      <c r="C48" s="89"/>
      <c r="D48" s="89"/>
      <c r="E48" s="89"/>
      <c r="F48" s="89"/>
      <c r="G48" s="89"/>
      <c r="H48" s="89"/>
      <c r="I48" s="89"/>
      <c r="J48" s="89"/>
      <c r="K48" s="89"/>
      <c r="L48" s="89"/>
    </row>
    <row r="49" spans="3:12" x14ac:dyDescent="0.2">
      <c r="C49" s="90"/>
      <c r="D49" s="90"/>
      <c r="E49" s="90"/>
      <c r="F49" s="90"/>
      <c r="G49" s="90"/>
      <c r="H49" s="90"/>
      <c r="I49" s="90"/>
      <c r="J49" s="90"/>
      <c r="K49" s="90"/>
      <c r="L49" s="90"/>
    </row>
    <row r="50" spans="3:12" ht="19" x14ac:dyDescent="0.25">
      <c r="C50" s="81" t="s">
        <v>33</v>
      </c>
      <c r="D50" s="82"/>
      <c r="E50" s="82"/>
      <c r="F50" s="82"/>
      <c r="G50" s="82"/>
      <c r="H50" s="82"/>
      <c r="I50" s="82"/>
      <c r="J50" s="82"/>
      <c r="K50" s="82"/>
      <c r="L50" s="83"/>
    </row>
    <row r="51" spans="3:12" ht="19" x14ac:dyDescent="0.25">
      <c r="C51" s="6" t="s">
        <v>20</v>
      </c>
      <c r="D51" s="6" t="s">
        <v>65</v>
      </c>
      <c r="E51" s="6" t="s">
        <v>66</v>
      </c>
      <c r="F51" s="6" t="s">
        <v>196</v>
      </c>
      <c r="G51" s="6" t="s">
        <v>359</v>
      </c>
      <c r="H51" s="6" t="s">
        <v>53</v>
      </c>
      <c r="I51" s="6" t="s">
        <v>195</v>
      </c>
      <c r="J51" s="116" t="s">
        <v>7</v>
      </c>
      <c r="K51" s="117"/>
      <c r="L51" s="149"/>
    </row>
    <row r="52" spans="3:12" x14ac:dyDescent="0.2">
      <c r="C52" s="27">
        <v>46054</v>
      </c>
      <c r="D52" s="1" t="s">
        <v>459</v>
      </c>
      <c r="E52" s="1" t="s">
        <v>367</v>
      </c>
      <c r="F52" s="1" t="s">
        <v>219</v>
      </c>
      <c r="G52" s="1">
        <v>180</v>
      </c>
      <c r="H52" s="1"/>
      <c r="I52" s="1"/>
      <c r="J52" s="74"/>
      <c r="K52" s="74"/>
      <c r="L52" s="74"/>
    </row>
    <row r="53" spans="3:12" x14ac:dyDescent="0.2">
      <c r="C53" s="27">
        <v>46175</v>
      </c>
      <c r="D53" s="1" t="s">
        <v>367</v>
      </c>
      <c r="E53" s="1" t="s">
        <v>484</v>
      </c>
      <c r="F53" s="1" t="s">
        <v>219</v>
      </c>
      <c r="G53" s="1">
        <v>60</v>
      </c>
      <c r="H53" s="1"/>
      <c r="I53" s="1"/>
      <c r="J53" s="74"/>
      <c r="K53" s="74"/>
      <c r="L53" s="74"/>
    </row>
    <row r="54" spans="3:12" x14ac:dyDescent="0.2">
      <c r="C54" s="27">
        <v>46175</v>
      </c>
      <c r="D54" s="1" t="s">
        <v>484</v>
      </c>
      <c r="E54" s="1" t="s">
        <v>367</v>
      </c>
      <c r="F54" s="1" t="s">
        <v>219</v>
      </c>
      <c r="G54" s="1">
        <v>60</v>
      </c>
      <c r="H54" s="1"/>
      <c r="I54" s="1"/>
      <c r="J54" s="74"/>
      <c r="K54" s="74"/>
      <c r="L54" s="74"/>
    </row>
    <row r="55" spans="3:12" x14ac:dyDescent="0.2">
      <c r="C55" s="27">
        <v>46175</v>
      </c>
      <c r="D55" s="1" t="s">
        <v>367</v>
      </c>
      <c r="E55" s="1" t="s">
        <v>360</v>
      </c>
      <c r="F55" s="1" t="s">
        <v>219</v>
      </c>
      <c r="G55" s="1">
        <v>245</v>
      </c>
      <c r="H55" s="1"/>
      <c r="I55" s="1" t="s">
        <v>499</v>
      </c>
      <c r="J55" s="74"/>
      <c r="K55" s="74"/>
      <c r="L55" s="74"/>
    </row>
    <row r="56" spans="3:12" x14ac:dyDescent="0.2">
      <c r="C56" s="27">
        <v>46179</v>
      </c>
      <c r="D56" s="1" t="s">
        <v>360</v>
      </c>
      <c r="E56" s="1" t="s">
        <v>479</v>
      </c>
      <c r="F56" s="1" t="s">
        <v>219</v>
      </c>
      <c r="G56" s="1">
        <v>165</v>
      </c>
      <c r="H56" s="1"/>
      <c r="I56" s="1" t="s">
        <v>480</v>
      </c>
      <c r="J56" s="74"/>
      <c r="K56" s="74"/>
      <c r="L56" s="74"/>
    </row>
    <row r="57" spans="3:12" x14ac:dyDescent="0.2">
      <c r="C57" s="27">
        <v>46179</v>
      </c>
      <c r="D57" s="1" t="s">
        <v>479</v>
      </c>
      <c r="E57" s="1" t="s">
        <v>358</v>
      </c>
      <c r="F57" s="1" t="s">
        <v>219</v>
      </c>
      <c r="G57" s="1">
        <v>245</v>
      </c>
      <c r="H57" s="1"/>
      <c r="I57" s="1" t="s">
        <v>501</v>
      </c>
      <c r="J57" s="74"/>
      <c r="K57" s="74"/>
      <c r="L57" s="74"/>
    </row>
    <row r="58" spans="3:12" x14ac:dyDescent="0.2">
      <c r="C58" s="27">
        <v>46183</v>
      </c>
      <c r="D58" s="1" t="s">
        <v>358</v>
      </c>
      <c r="E58" s="1" t="s">
        <v>490</v>
      </c>
      <c r="F58" s="1" t="s">
        <v>494</v>
      </c>
      <c r="G58" s="1">
        <v>170</v>
      </c>
      <c r="H58" s="1"/>
      <c r="I58" s="1"/>
      <c r="J58" s="74"/>
      <c r="K58" s="74"/>
      <c r="L58" s="74"/>
    </row>
    <row r="59" spans="3:12" x14ac:dyDescent="0.2">
      <c r="C59" s="27">
        <v>46183</v>
      </c>
      <c r="D59" s="1" t="s">
        <v>490</v>
      </c>
      <c r="E59" s="1" t="s">
        <v>358</v>
      </c>
      <c r="F59" s="1" t="s">
        <v>494</v>
      </c>
      <c r="G59" s="1">
        <v>170</v>
      </c>
      <c r="H59" s="1"/>
      <c r="I59" s="1"/>
      <c r="J59" s="74"/>
      <c r="K59" s="74"/>
      <c r="L59" s="74"/>
    </row>
    <row r="60" spans="3:12" x14ac:dyDescent="0.2">
      <c r="C60" s="27">
        <v>46185</v>
      </c>
      <c r="D60" s="1" t="s">
        <v>358</v>
      </c>
      <c r="E60" s="1" t="s">
        <v>492</v>
      </c>
      <c r="F60" s="1" t="s">
        <v>219</v>
      </c>
      <c r="G60" s="1">
        <v>75</v>
      </c>
      <c r="H60" s="1"/>
      <c r="I60" s="1" t="s">
        <v>495</v>
      </c>
      <c r="J60" s="74"/>
      <c r="K60" s="74"/>
      <c r="L60" s="74"/>
    </row>
    <row r="61" spans="3:12" x14ac:dyDescent="0.2">
      <c r="C61" s="27">
        <v>46185</v>
      </c>
      <c r="D61" s="1" t="s">
        <v>492</v>
      </c>
      <c r="E61" s="1" t="s">
        <v>496</v>
      </c>
      <c r="F61" s="1" t="s">
        <v>219</v>
      </c>
      <c r="G61" s="1">
        <v>45</v>
      </c>
      <c r="H61" s="1"/>
      <c r="I61" s="1"/>
      <c r="J61" s="74"/>
      <c r="K61" s="74"/>
      <c r="L61" s="74"/>
    </row>
    <row r="62" spans="3:12" x14ac:dyDescent="0.2">
      <c r="C62" s="27">
        <v>46185</v>
      </c>
      <c r="D62" s="1" t="s">
        <v>496</v>
      </c>
      <c r="E62" s="1" t="s">
        <v>497</v>
      </c>
      <c r="F62" s="1" t="s">
        <v>190</v>
      </c>
      <c r="G62" s="1">
        <v>0</v>
      </c>
      <c r="H62" s="1"/>
      <c r="I62" s="1"/>
      <c r="J62" s="74" t="s">
        <v>506</v>
      </c>
      <c r="K62" s="74"/>
      <c r="L62" s="74"/>
    </row>
    <row r="63" spans="3:12" x14ac:dyDescent="0.2">
      <c r="C63" s="27">
        <v>46185</v>
      </c>
      <c r="D63" s="1" t="s">
        <v>497</v>
      </c>
      <c r="E63" s="1" t="s">
        <v>496</v>
      </c>
      <c r="F63" s="1" t="s">
        <v>190</v>
      </c>
      <c r="G63" s="1">
        <v>0</v>
      </c>
      <c r="H63" s="1"/>
      <c r="I63" s="1"/>
      <c r="J63" s="74"/>
      <c r="K63" s="74"/>
      <c r="L63" s="74"/>
    </row>
    <row r="64" spans="3:12" x14ac:dyDescent="0.2">
      <c r="C64" s="27">
        <v>46185</v>
      </c>
      <c r="D64" s="1" t="s">
        <v>496</v>
      </c>
      <c r="E64" s="1" t="s">
        <v>358</v>
      </c>
      <c r="F64" s="1" t="s">
        <v>219</v>
      </c>
      <c r="G64" s="1">
        <v>0</v>
      </c>
      <c r="H64" s="1"/>
      <c r="I64" s="1"/>
      <c r="J64" s="74"/>
      <c r="K64" s="74"/>
      <c r="L64" s="74"/>
    </row>
    <row r="65" spans="3:12" x14ac:dyDescent="0.2">
      <c r="C65" s="1"/>
      <c r="D65" s="1"/>
      <c r="E65" s="1"/>
      <c r="F65" s="1"/>
      <c r="G65" s="1"/>
      <c r="H65" s="1"/>
      <c r="I65" s="1"/>
      <c r="J65" s="74"/>
      <c r="K65" s="74"/>
      <c r="L65" s="74"/>
    </row>
    <row r="66" spans="3:12" ht="19" x14ac:dyDescent="0.25">
      <c r="C66" s="13"/>
      <c r="D66" s="3"/>
      <c r="E66" s="1"/>
      <c r="F66" s="3"/>
      <c r="G66" s="4">
        <f>SUM(G52:G64)</f>
        <v>1415</v>
      </c>
      <c r="H66" s="5">
        <f>SUM(H52:H64)</f>
        <v>0</v>
      </c>
      <c r="I66" s="3"/>
      <c r="J66" s="75"/>
      <c r="K66" s="75"/>
      <c r="L66" s="75"/>
    </row>
    <row r="67" spans="3:12" x14ac:dyDescent="0.2">
      <c r="D67" s="38"/>
      <c r="E67" s="38"/>
      <c r="F67" s="38"/>
      <c r="G67" s="38"/>
      <c r="H67" s="38"/>
      <c r="I67" s="38"/>
      <c r="J67" s="38"/>
      <c r="K67" s="38"/>
      <c r="L67" s="38"/>
    </row>
  </sheetData>
  <mergeCells count="116">
    <mergeCell ref="J63:L63"/>
    <mergeCell ref="J64:L64"/>
    <mergeCell ref="J65:L65"/>
    <mergeCell ref="J66:L66"/>
    <mergeCell ref="D38:E38"/>
    <mergeCell ref="D39:E39"/>
    <mergeCell ref="D40:E40"/>
    <mergeCell ref="D41:E41"/>
    <mergeCell ref="D42:E42"/>
    <mergeCell ref="J38:L38"/>
    <mergeCell ref="J57:L57"/>
    <mergeCell ref="J58:L58"/>
    <mergeCell ref="J59:L59"/>
    <mergeCell ref="J60:L60"/>
    <mergeCell ref="J61:L61"/>
    <mergeCell ref="J62:L62"/>
    <mergeCell ref="J51:L51"/>
    <mergeCell ref="J52:L52"/>
    <mergeCell ref="J53:L53"/>
    <mergeCell ref="J54:L54"/>
    <mergeCell ref="J56:L56"/>
    <mergeCell ref="D46:E46"/>
    <mergeCell ref="J46:L46"/>
    <mergeCell ref="D47:E47"/>
    <mergeCell ref="D37:E37"/>
    <mergeCell ref="J37:L37"/>
    <mergeCell ref="D32:E32"/>
    <mergeCell ref="J32:L32"/>
    <mergeCell ref="D33:E33"/>
    <mergeCell ref="J33:L33"/>
    <mergeCell ref="D34:E34"/>
    <mergeCell ref="J34:L34"/>
    <mergeCell ref="J55:L55"/>
    <mergeCell ref="J39:L39"/>
    <mergeCell ref="J40:L40"/>
    <mergeCell ref="J41:L41"/>
    <mergeCell ref="J42:L42"/>
    <mergeCell ref="J47:L47"/>
    <mergeCell ref="C48:L49"/>
    <mergeCell ref="C50:L50"/>
    <mergeCell ref="D43:E43"/>
    <mergeCell ref="J43:L43"/>
    <mergeCell ref="D44:E44"/>
    <mergeCell ref="J44:L44"/>
    <mergeCell ref="D45:E45"/>
    <mergeCell ref="J45:L45"/>
    <mergeCell ref="N36:Q36"/>
    <mergeCell ref="D31:E31"/>
    <mergeCell ref="J31:L31"/>
    <mergeCell ref="D26:E26"/>
    <mergeCell ref="J26:L26"/>
    <mergeCell ref="D27:E27"/>
    <mergeCell ref="J27:L27"/>
    <mergeCell ref="D28:E28"/>
    <mergeCell ref="J28:L28"/>
    <mergeCell ref="N29:R30"/>
    <mergeCell ref="D35:E35"/>
    <mergeCell ref="J35:L35"/>
    <mergeCell ref="D36:E36"/>
    <mergeCell ref="J36:L36"/>
    <mergeCell ref="N31:R31"/>
    <mergeCell ref="Q27:R27"/>
    <mergeCell ref="D23:E23"/>
    <mergeCell ref="J23:L23"/>
    <mergeCell ref="Q28:R28"/>
    <mergeCell ref="D29:E29"/>
    <mergeCell ref="J29:L29"/>
    <mergeCell ref="D30:E30"/>
    <mergeCell ref="J30:L30"/>
    <mergeCell ref="Q25:R25"/>
    <mergeCell ref="Q26:R26"/>
    <mergeCell ref="D17:E17"/>
    <mergeCell ref="J17:L17"/>
    <mergeCell ref="N22:R23"/>
    <mergeCell ref="D18:E18"/>
    <mergeCell ref="J18:L18"/>
    <mergeCell ref="D19:E19"/>
    <mergeCell ref="J19:L19"/>
    <mergeCell ref="N24:R24"/>
    <mergeCell ref="Q20:R20"/>
    <mergeCell ref="D24:E24"/>
    <mergeCell ref="J24:L24"/>
    <mergeCell ref="D25:E25"/>
    <mergeCell ref="J25:L25"/>
    <mergeCell ref="D22:E22"/>
    <mergeCell ref="J22:L22"/>
    <mergeCell ref="D16:E16"/>
    <mergeCell ref="J16:L16"/>
    <mergeCell ref="Q21:R21"/>
    <mergeCell ref="C12:L13"/>
    <mergeCell ref="Q16:R16"/>
    <mergeCell ref="Q17:R17"/>
    <mergeCell ref="C14:L14"/>
    <mergeCell ref="Q18:R18"/>
    <mergeCell ref="D15:E15"/>
    <mergeCell ref="J15:L15"/>
    <mergeCell ref="Q19:R19"/>
    <mergeCell ref="N12:R12"/>
    <mergeCell ref="D20:E20"/>
    <mergeCell ref="J20:L20"/>
    <mergeCell ref="D21:E21"/>
    <mergeCell ref="J21:L21"/>
    <mergeCell ref="I9:K9"/>
    <mergeCell ref="Q13:R13"/>
    <mergeCell ref="I10:K10"/>
    <mergeCell ref="Q14:R14"/>
    <mergeCell ref="I11:K11"/>
    <mergeCell ref="Q15:R15"/>
    <mergeCell ref="I7:K7"/>
    <mergeCell ref="I8:K8"/>
    <mergeCell ref="B2:L2"/>
    <mergeCell ref="N2:P2"/>
    <mergeCell ref="I3:K3"/>
    <mergeCell ref="I4:K4"/>
    <mergeCell ref="I5:K5"/>
    <mergeCell ref="I6:K6"/>
  </mergeCell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E934-5AD5-BA45-AB8C-BF8726EA35AD}">
  <dimension ref="B2:R120"/>
  <sheetViews>
    <sheetView zoomScale="110" zoomScaleNormal="110" workbookViewId="0">
      <selection activeCell="F115" sqref="F115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230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112</v>
      </c>
    </row>
    <row r="4" spans="2:18" ht="19" x14ac:dyDescent="0.25">
      <c r="B4" s="59">
        <v>46297</v>
      </c>
      <c r="C4" s="60">
        <v>46301</v>
      </c>
      <c r="D4" s="61" t="s">
        <v>523</v>
      </c>
      <c r="E4" s="61" t="s">
        <v>656</v>
      </c>
      <c r="F4" s="61">
        <v>152</v>
      </c>
      <c r="G4" s="61"/>
      <c r="H4" s="62">
        <v>38</v>
      </c>
      <c r="I4" s="145">
        <v>141</v>
      </c>
      <c r="J4" s="146"/>
      <c r="K4" s="147"/>
      <c r="L4" s="61">
        <v>4</v>
      </c>
      <c r="N4" s="3"/>
      <c r="O4" s="3"/>
      <c r="P4" s="3"/>
    </row>
    <row r="5" spans="2:18" ht="19" x14ac:dyDescent="0.25">
      <c r="B5" s="63">
        <v>46301</v>
      </c>
      <c r="C5" s="64">
        <v>46302</v>
      </c>
      <c r="D5" s="65" t="s">
        <v>544</v>
      </c>
      <c r="E5" s="65" t="s">
        <v>550</v>
      </c>
      <c r="F5" s="65">
        <v>42</v>
      </c>
      <c r="G5" s="65"/>
      <c r="H5" s="66">
        <v>42</v>
      </c>
      <c r="I5" s="145">
        <v>31</v>
      </c>
      <c r="J5" s="146"/>
      <c r="K5" s="147"/>
      <c r="L5" s="65">
        <v>1</v>
      </c>
      <c r="N5" s="3"/>
      <c r="O5" s="3"/>
      <c r="P5" s="3"/>
    </row>
    <row r="6" spans="2:18" ht="19" x14ac:dyDescent="0.25">
      <c r="B6" s="63">
        <v>46302</v>
      </c>
      <c r="C6" s="64">
        <v>46303</v>
      </c>
      <c r="D6" s="65" t="s">
        <v>542</v>
      </c>
      <c r="E6" s="65" t="s">
        <v>522</v>
      </c>
      <c r="F6" s="65">
        <v>32</v>
      </c>
      <c r="G6" s="65"/>
      <c r="H6" s="66">
        <v>32</v>
      </c>
      <c r="I6" s="145">
        <v>30</v>
      </c>
      <c r="J6" s="146"/>
      <c r="K6" s="147"/>
      <c r="L6" s="65">
        <v>1</v>
      </c>
      <c r="N6" s="3"/>
      <c r="O6" s="3"/>
      <c r="P6" s="3"/>
    </row>
    <row r="7" spans="2:18" ht="19" x14ac:dyDescent="0.25">
      <c r="B7" s="63">
        <v>46303</v>
      </c>
      <c r="C7" s="64">
        <v>46306</v>
      </c>
      <c r="D7" s="65" t="s">
        <v>520</v>
      </c>
      <c r="E7" s="65" t="s">
        <v>548</v>
      </c>
      <c r="F7" s="65">
        <v>132</v>
      </c>
      <c r="G7" s="65"/>
      <c r="H7" s="66">
        <v>44</v>
      </c>
      <c r="I7" s="145">
        <v>132</v>
      </c>
      <c r="J7" s="146"/>
      <c r="K7" s="147"/>
      <c r="L7" s="65">
        <v>3</v>
      </c>
      <c r="N7" s="3"/>
      <c r="O7" s="3"/>
      <c r="P7" s="1"/>
    </row>
    <row r="8" spans="2:18" ht="19" x14ac:dyDescent="0.25">
      <c r="B8" s="63">
        <v>46306</v>
      </c>
      <c r="C8" s="64">
        <v>46309</v>
      </c>
      <c r="D8" s="65" t="s">
        <v>519</v>
      </c>
      <c r="E8" s="65" t="s">
        <v>549</v>
      </c>
      <c r="F8" s="65">
        <v>95</v>
      </c>
      <c r="G8" s="65"/>
      <c r="H8" s="66">
        <v>31.67</v>
      </c>
      <c r="I8" s="145">
        <v>91</v>
      </c>
      <c r="J8" s="146"/>
      <c r="K8" s="147"/>
      <c r="L8" s="65">
        <v>3</v>
      </c>
      <c r="N8" s="3"/>
      <c r="O8" s="3"/>
      <c r="P8" s="1"/>
    </row>
    <row r="9" spans="2:18" ht="19" x14ac:dyDescent="0.25">
      <c r="B9" s="63">
        <v>46309</v>
      </c>
      <c r="C9" s="64">
        <v>46310</v>
      </c>
      <c r="D9" s="65" t="s">
        <v>539</v>
      </c>
      <c r="E9" s="65" t="s">
        <v>551</v>
      </c>
      <c r="F9" s="65">
        <v>47</v>
      </c>
      <c r="G9" s="65"/>
      <c r="H9" s="66">
        <v>47</v>
      </c>
      <c r="I9" s="145">
        <v>47</v>
      </c>
      <c r="J9" s="146"/>
      <c r="K9" s="147"/>
      <c r="L9" s="65">
        <v>1</v>
      </c>
      <c r="N9" s="1"/>
      <c r="O9" s="5">
        <f>SUM(O4:O8)</f>
        <v>0</v>
      </c>
      <c r="P9" s="1"/>
    </row>
    <row r="10" spans="2:18" ht="19" x14ac:dyDescent="0.25">
      <c r="B10" s="63">
        <v>46310</v>
      </c>
      <c r="C10" s="64">
        <v>46314</v>
      </c>
      <c r="D10" s="65" t="s">
        <v>547</v>
      </c>
      <c r="E10" s="65" t="s">
        <v>552</v>
      </c>
      <c r="F10" s="65">
        <v>105</v>
      </c>
      <c r="G10" s="65"/>
      <c r="H10" s="66">
        <v>26.25</v>
      </c>
      <c r="I10" s="145">
        <v>105</v>
      </c>
      <c r="J10" s="146"/>
      <c r="K10" s="147"/>
      <c r="L10" s="65">
        <v>4</v>
      </c>
    </row>
    <row r="11" spans="2:18" ht="19" x14ac:dyDescent="0.25">
      <c r="B11" s="63">
        <v>46314</v>
      </c>
      <c r="C11" s="64">
        <v>46321</v>
      </c>
      <c r="D11" s="65" t="s">
        <v>518</v>
      </c>
      <c r="E11" s="65" t="s">
        <v>657</v>
      </c>
      <c r="F11" s="65">
        <v>311</v>
      </c>
      <c r="G11" s="65"/>
      <c r="H11" s="66">
        <v>44.43</v>
      </c>
      <c r="I11" s="145">
        <v>309</v>
      </c>
      <c r="J11" s="146"/>
      <c r="K11" s="147"/>
      <c r="L11" s="65">
        <v>7</v>
      </c>
    </row>
    <row r="12" spans="2:18" ht="19" x14ac:dyDescent="0.25">
      <c r="B12" s="13"/>
      <c r="C12" s="13"/>
      <c r="D12" s="3"/>
      <c r="E12" s="3"/>
      <c r="F12" s="3"/>
      <c r="G12" s="3"/>
      <c r="H12" s="50"/>
      <c r="I12" s="93"/>
      <c r="J12" s="94"/>
      <c r="K12" s="108"/>
      <c r="L12" s="3"/>
      <c r="N12" s="81" t="s">
        <v>69</v>
      </c>
      <c r="O12" s="82"/>
      <c r="P12" s="82"/>
      <c r="Q12" s="82"/>
      <c r="R12" s="83"/>
    </row>
    <row r="13" spans="2:18" ht="19" x14ac:dyDescent="0.25">
      <c r="B13" s="13"/>
      <c r="C13" s="13"/>
      <c r="D13" s="3"/>
      <c r="E13" s="3"/>
      <c r="F13" s="3"/>
      <c r="G13" s="3"/>
      <c r="H13" s="50"/>
      <c r="I13" s="93"/>
      <c r="J13" s="94"/>
      <c r="K13" s="108"/>
      <c r="L13" s="3"/>
      <c r="N13" s="6" t="s">
        <v>45</v>
      </c>
      <c r="O13" s="6" t="s">
        <v>230</v>
      </c>
      <c r="P13" s="6" t="s">
        <v>53</v>
      </c>
      <c r="Q13" s="77" t="s">
        <v>7</v>
      </c>
      <c r="R13" s="78"/>
    </row>
    <row r="14" spans="2:18" ht="19" x14ac:dyDescent="0.25">
      <c r="B14" s="13"/>
      <c r="C14" s="13"/>
      <c r="D14" s="3"/>
      <c r="E14" s="3"/>
      <c r="F14" s="3"/>
      <c r="G14" s="3"/>
      <c r="H14" s="50"/>
      <c r="I14" s="113"/>
      <c r="J14" s="114"/>
      <c r="K14" s="115"/>
      <c r="L14" s="3"/>
      <c r="N14" s="3" t="s">
        <v>727</v>
      </c>
      <c r="O14" s="3">
        <v>27</v>
      </c>
      <c r="P14" s="3"/>
      <c r="Q14" s="84"/>
      <c r="R14" s="85"/>
    </row>
    <row r="15" spans="2:18" ht="19" x14ac:dyDescent="0.25">
      <c r="B15" s="2"/>
      <c r="C15" s="2"/>
      <c r="D15" s="3"/>
      <c r="E15" s="3"/>
      <c r="F15" s="3">
        <f>SUM(F4:F13)</f>
        <v>916</v>
      </c>
      <c r="G15" s="5">
        <f>SUM(G4:G13)</f>
        <v>0</v>
      </c>
      <c r="H15" s="50">
        <f>F15/L15</f>
        <v>38.166666666666664</v>
      </c>
      <c r="I15" s="95"/>
      <c r="J15" s="95"/>
      <c r="K15" s="95"/>
      <c r="L15" s="3">
        <f>SUM(L4:L13)</f>
        <v>24</v>
      </c>
      <c r="N15" s="3" t="s">
        <v>728</v>
      </c>
      <c r="O15" s="3">
        <v>35</v>
      </c>
      <c r="P15" s="3"/>
      <c r="Q15" s="84"/>
      <c r="R15" s="85"/>
    </row>
    <row r="16" spans="2:18" ht="19" x14ac:dyDescent="0.25">
      <c r="B16" s="38"/>
      <c r="C16" s="89"/>
      <c r="D16" s="89"/>
      <c r="E16" s="89"/>
      <c r="F16" s="89"/>
      <c r="G16" s="89"/>
      <c r="H16" s="89"/>
      <c r="I16" s="89"/>
      <c r="J16" s="89"/>
      <c r="K16" s="89"/>
      <c r="L16" s="89"/>
      <c r="N16" s="3" t="s">
        <v>729</v>
      </c>
      <c r="O16" s="3">
        <v>28</v>
      </c>
      <c r="P16" s="3"/>
      <c r="Q16" s="84" t="s">
        <v>730</v>
      </c>
      <c r="R16" s="85"/>
    </row>
    <row r="17" spans="3:18" ht="19" x14ac:dyDescent="0.25">
      <c r="C17" s="90"/>
      <c r="D17" s="90"/>
      <c r="E17" s="90"/>
      <c r="F17" s="90"/>
      <c r="G17" s="90"/>
      <c r="H17" s="90"/>
      <c r="I17" s="90"/>
      <c r="J17" s="90"/>
      <c r="K17" s="90"/>
      <c r="L17" s="90"/>
      <c r="N17" s="3" t="s">
        <v>748</v>
      </c>
      <c r="O17" s="3">
        <v>85</v>
      </c>
      <c r="P17" s="3"/>
      <c r="Q17" s="84"/>
      <c r="R17" s="85"/>
    </row>
    <row r="18" spans="3:18" ht="19" x14ac:dyDescent="0.25">
      <c r="C18" s="96" t="s">
        <v>68</v>
      </c>
      <c r="D18" s="96"/>
      <c r="E18" s="96"/>
      <c r="F18" s="96"/>
      <c r="G18" s="96"/>
      <c r="H18" s="96"/>
      <c r="I18" s="96"/>
      <c r="J18" s="96"/>
      <c r="K18" s="96"/>
      <c r="L18" s="96"/>
      <c r="N18" s="3" t="s">
        <v>749</v>
      </c>
      <c r="O18" s="3">
        <v>29</v>
      </c>
      <c r="P18" s="3"/>
      <c r="Q18" s="84"/>
      <c r="R18" s="85"/>
    </row>
    <row r="19" spans="3:18" ht="19" x14ac:dyDescent="0.25">
      <c r="C19" s="12" t="s">
        <v>20</v>
      </c>
      <c r="D19" s="98" t="s">
        <v>2</v>
      </c>
      <c r="E19" s="98"/>
      <c r="F19" s="12" t="s">
        <v>21</v>
      </c>
      <c r="G19" s="12" t="s">
        <v>230</v>
      </c>
      <c r="H19" s="12" t="s">
        <v>53</v>
      </c>
      <c r="I19" s="6" t="s">
        <v>853</v>
      </c>
      <c r="J19" s="88" t="s">
        <v>7</v>
      </c>
      <c r="K19" s="88"/>
      <c r="L19" s="78"/>
      <c r="N19" s="3" t="s">
        <v>767</v>
      </c>
      <c r="O19" s="3">
        <v>26</v>
      </c>
      <c r="P19" s="3"/>
      <c r="Q19" s="84"/>
      <c r="R19" s="85"/>
    </row>
    <row r="20" spans="3:18" ht="19" x14ac:dyDescent="0.25">
      <c r="C20" s="55"/>
      <c r="D20" s="74" t="s">
        <v>702</v>
      </c>
      <c r="E20" s="74"/>
      <c r="F20" s="1" t="s">
        <v>523</v>
      </c>
      <c r="G20" s="1">
        <v>20</v>
      </c>
      <c r="H20" s="1"/>
      <c r="I20" s="1"/>
      <c r="J20" s="74"/>
      <c r="K20" s="74"/>
      <c r="L20" s="74"/>
      <c r="N20" s="3"/>
      <c r="O20" s="4"/>
      <c r="P20" s="4"/>
      <c r="Q20" s="84"/>
      <c r="R20" s="85"/>
    </row>
    <row r="21" spans="3:18" ht="19" x14ac:dyDescent="0.25">
      <c r="C21" s="55"/>
      <c r="D21" s="74" t="s">
        <v>703</v>
      </c>
      <c r="E21" s="74"/>
      <c r="F21" s="1" t="s">
        <v>523</v>
      </c>
      <c r="G21" s="1">
        <v>13</v>
      </c>
      <c r="H21" s="1"/>
      <c r="I21" s="1"/>
      <c r="J21" s="74"/>
      <c r="K21" s="74"/>
      <c r="L21" s="74"/>
      <c r="N21" s="3"/>
      <c r="O21" s="15">
        <f>SUM(O14:O20)</f>
        <v>230</v>
      </c>
      <c r="P21" s="5">
        <f>SUM(P14:P18)</f>
        <v>0</v>
      </c>
      <c r="Q21" s="86"/>
      <c r="R21" s="87"/>
    </row>
    <row r="22" spans="3:18" x14ac:dyDescent="0.2">
      <c r="C22" s="56"/>
      <c r="D22" s="74" t="s">
        <v>546</v>
      </c>
      <c r="E22" s="74"/>
      <c r="F22" s="1" t="s">
        <v>523</v>
      </c>
      <c r="G22" s="1">
        <v>28</v>
      </c>
      <c r="H22" s="57"/>
      <c r="I22" s="1"/>
      <c r="J22" s="74" t="s">
        <v>704</v>
      </c>
      <c r="K22" s="74"/>
      <c r="L22" s="74"/>
      <c r="N22" s="89"/>
      <c r="O22" s="89"/>
      <c r="P22" s="89"/>
      <c r="Q22" s="89"/>
      <c r="R22" s="89"/>
    </row>
    <row r="23" spans="3:18" x14ac:dyDescent="0.2">
      <c r="C23" s="56"/>
      <c r="D23" s="74" t="s">
        <v>705</v>
      </c>
      <c r="E23" s="74"/>
      <c r="F23" s="1" t="s">
        <v>523</v>
      </c>
      <c r="G23" s="1">
        <v>5</v>
      </c>
      <c r="H23" s="57"/>
      <c r="I23" s="1"/>
      <c r="J23" s="74"/>
      <c r="K23" s="74"/>
      <c r="L23" s="74"/>
      <c r="N23" s="90"/>
      <c r="O23" s="90"/>
      <c r="P23" s="90"/>
      <c r="Q23" s="90"/>
      <c r="R23" s="90"/>
    </row>
    <row r="24" spans="3:18" ht="19" x14ac:dyDescent="0.25">
      <c r="C24" s="56"/>
      <c r="D24" s="74" t="s">
        <v>545</v>
      </c>
      <c r="E24" s="74"/>
      <c r="F24" s="1" t="s">
        <v>523</v>
      </c>
      <c r="G24" s="1">
        <v>23</v>
      </c>
      <c r="H24" s="57"/>
      <c r="I24" s="1"/>
      <c r="J24" s="74" t="s">
        <v>704</v>
      </c>
      <c r="K24" s="74"/>
      <c r="L24" s="74"/>
      <c r="N24" s="81" t="s">
        <v>38</v>
      </c>
      <c r="O24" s="82"/>
      <c r="P24" s="82"/>
      <c r="Q24" s="82"/>
      <c r="R24" s="82"/>
    </row>
    <row r="25" spans="3:18" ht="19" x14ac:dyDescent="0.25">
      <c r="C25" s="56"/>
      <c r="D25" s="74" t="s">
        <v>534</v>
      </c>
      <c r="E25" s="74"/>
      <c r="F25" s="1" t="s">
        <v>523</v>
      </c>
      <c r="G25" s="1">
        <v>25</v>
      </c>
      <c r="H25" s="57"/>
      <c r="I25" s="1"/>
      <c r="J25" s="74"/>
      <c r="K25" s="74"/>
      <c r="L25" s="74"/>
      <c r="N25" s="6" t="s">
        <v>20</v>
      </c>
      <c r="O25" s="6" t="s">
        <v>32</v>
      </c>
      <c r="P25" s="6" t="s">
        <v>4</v>
      </c>
      <c r="Q25" s="77" t="s">
        <v>7</v>
      </c>
      <c r="R25" s="88"/>
    </row>
    <row r="26" spans="3:18" ht="19" x14ac:dyDescent="0.25">
      <c r="C26" s="56"/>
      <c r="D26" s="79" t="s">
        <v>711</v>
      </c>
      <c r="E26" s="80"/>
      <c r="F26" s="1" t="s">
        <v>710</v>
      </c>
      <c r="G26" s="1">
        <v>25</v>
      </c>
      <c r="H26" s="57"/>
      <c r="I26" s="1"/>
      <c r="J26" s="74"/>
      <c r="K26" s="74"/>
      <c r="L26" s="74"/>
      <c r="N26" s="13"/>
      <c r="O26" s="3"/>
      <c r="P26" s="3"/>
      <c r="Q26" s="84"/>
      <c r="R26" s="85"/>
    </row>
    <row r="27" spans="3:18" ht="19" x14ac:dyDescent="0.25">
      <c r="C27" s="56"/>
      <c r="D27" s="74" t="s">
        <v>712</v>
      </c>
      <c r="E27" s="74"/>
      <c r="F27" s="1" t="s">
        <v>707</v>
      </c>
      <c r="G27" s="1">
        <v>15</v>
      </c>
      <c r="H27" s="57"/>
      <c r="I27" s="1"/>
      <c r="J27" s="74"/>
      <c r="K27" s="74"/>
      <c r="L27" s="74"/>
      <c r="N27" s="13"/>
      <c r="O27" s="3"/>
      <c r="P27" s="3"/>
      <c r="Q27" s="84"/>
      <c r="R27" s="85"/>
    </row>
    <row r="28" spans="3:18" ht="19" x14ac:dyDescent="0.25">
      <c r="C28" s="56"/>
      <c r="D28" s="74" t="s">
        <v>543</v>
      </c>
      <c r="E28" s="74"/>
      <c r="F28" s="1" t="s">
        <v>544</v>
      </c>
      <c r="G28" s="1">
        <v>0</v>
      </c>
      <c r="H28" s="57"/>
      <c r="I28" s="1">
        <v>10</v>
      </c>
      <c r="J28" s="74" t="s">
        <v>727</v>
      </c>
      <c r="K28" s="74"/>
      <c r="L28" s="74"/>
      <c r="N28" s="3"/>
      <c r="O28" s="3"/>
      <c r="P28" s="5">
        <f>P26+P27</f>
        <v>0</v>
      </c>
      <c r="Q28" s="84"/>
      <c r="R28" s="85"/>
    </row>
    <row r="29" spans="3:18" x14ac:dyDescent="0.2">
      <c r="C29" s="56"/>
      <c r="D29" s="74" t="s">
        <v>713</v>
      </c>
      <c r="E29" s="74"/>
      <c r="F29" s="1" t="s">
        <v>544</v>
      </c>
      <c r="G29" s="1">
        <v>0</v>
      </c>
      <c r="H29" s="57"/>
      <c r="I29" s="1">
        <v>8</v>
      </c>
      <c r="J29" s="74" t="s">
        <v>727</v>
      </c>
      <c r="K29" s="74"/>
      <c r="L29" s="74"/>
      <c r="N29" s="89"/>
      <c r="O29" s="89"/>
      <c r="P29" s="89"/>
      <c r="Q29" s="89"/>
      <c r="R29" s="89"/>
    </row>
    <row r="30" spans="3:18" x14ac:dyDescent="0.2">
      <c r="C30" s="56"/>
      <c r="D30" s="74" t="s">
        <v>714</v>
      </c>
      <c r="E30" s="74"/>
      <c r="F30" s="1" t="s">
        <v>544</v>
      </c>
      <c r="G30" s="1">
        <v>0</v>
      </c>
      <c r="H30" s="57"/>
      <c r="I30" s="1">
        <v>9</v>
      </c>
      <c r="J30" s="74" t="s">
        <v>727</v>
      </c>
      <c r="K30" s="74"/>
      <c r="L30" s="74"/>
      <c r="N30" s="90"/>
      <c r="O30" s="90"/>
      <c r="P30" s="90"/>
      <c r="Q30" s="90"/>
      <c r="R30" s="90"/>
    </row>
    <row r="31" spans="3:18" ht="19" x14ac:dyDescent="0.25">
      <c r="C31" s="56"/>
      <c r="D31" s="74" t="s">
        <v>715</v>
      </c>
      <c r="E31" s="74"/>
      <c r="F31" s="1" t="s">
        <v>544</v>
      </c>
      <c r="G31" s="1">
        <v>0</v>
      </c>
      <c r="H31" s="57"/>
      <c r="I31" s="1">
        <v>9</v>
      </c>
      <c r="J31" s="74" t="s">
        <v>727</v>
      </c>
      <c r="K31" s="74"/>
      <c r="L31" s="74"/>
      <c r="N31" s="81" t="s">
        <v>55</v>
      </c>
      <c r="O31" s="82"/>
      <c r="P31" s="82"/>
      <c r="Q31" s="82"/>
      <c r="R31" s="83"/>
    </row>
    <row r="32" spans="3:18" ht="19" x14ac:dyDescent="0.25">
      <c r="C32" s="56"/>
      <c r="D32" s="74" t="s">
        <v>716</v>
      </c>
      <c r="E32" s="74"/>
      <c r="F32" s="1" t="s">
        <v>544</v>
      </c>
      <c r="G32" s="1">
        <v>0</v>
      </c>
      <c r="H32" s="57"/>
      <c r="I32" s="1">
        <v>6</v>
      </c>
      <c r="J32" s="74" t="s">
        <v>727</v>
      </c>
      <c r="K32" s="74"/>
      <c r="L32" s="74"/>
      <c r="M32" s="37"/>
      <c r="N32" s="6" t="s">
        <v>90</v>
      </c>
      <c r="O32" s="6" t="s">
        <v>427</v>
      </c>
      <c r="P32" s="6" t="s">
        <v>56</v>
      </c>
      <c r="Q32" s="6" t="s">
        <v>37</v>
      </c>
      <c r="R32" s="6" t="s">
        <v>400</v>
      </c>
    </row>
    <row r="33" spans="3:18" ht="19" x14ac:dyDescent="0.25">
      <c r="C33" s="56"/>
      <c r="D33" s="74" t="s">
        <v>717</v>
      </c>
      <c r="E33" s="74"/>
      <c r="F33" s="1" t="s">
        <v>521</v>
      </c>
      <c r="G33" s="1">
        <v>0</v>
      </c>
      <c r="H33" s="57"/>
      <c r="I33" s="1">
        <v>10</v>
      </c>
      <c r="J33" s="74" t="s">
        <v>729</v>
      </c>
      <c r="K33" s="74"/>
      <c r="L33" s="74"/>
      <c r="N33" s="3"/>
      <c r="O33" s="3"/>
      <c r="P33" s="3"/>
      <c r="Q33" s="5"/>
      <c r="R33" s="5"/>
    </row>
    <row r="34" spans="3:18" x14ac:dyDescent="0.2">
      <c r="C34" s="56"/>
      <c r="D34" s="74" t="s">
        <v>718</v>
      </c>
      <c r="E34" s="74"/>
      <c r="F34" s="1" t="s">
        <v>521</v>
      </c>
      <c r="G34" s="1">
        <v>10</v>
      </c>
      <c r="H34" s="57"/>
      <c r="I34" s="1"/>
      <c r="J34" s="74"/>
      <c r="K34" s="74"/>
      <c r="L34" s="74"/>
    </row>
    <row r="35" spans="3:18" x14ac:dyDescent="0.2">
      <c r="C35" s="56"/>
      <c r="D35" s="74" t="s">
        <v>719</v>
      </c>
      <c r="E35" s="74"/>
      <c r="F35" s="1" t="s">
        <v>521</v>
      </c>
      <c r="G35" s="1">
        <v>0</v>
      </c>
      <c r="H35" s="57"/>
      <c r="I35" s="1">
        <v>8</v>
      </c>
      <c r="J35" s="74" t="s">
        <v>729</v>
      </c>
      <c r="K35" s="74"/>
      <c r="L35" s="74"/>
    </row>
    <row r="36" spans="3:18" ht="19" x14ac:dyDescent="0.25">
      <c r="C36" s="56"/>
      <c r="D36" s="74" t="s">
        <v>720</v>
      </c>
      <c r="E36" s="74"/>
      <c r="F36" s="1" t="s">
        <v>521</v>
      </c>
      <c r="G36" s="1">
        <v>0</v>
      </c>
      <c r="H36" s="57"/>
      <c r="I36" s="1">
        <v>16</v>
      </c>
      <c r="J36" s="74" t="s">
        <v>729</v>
      </c>
      <c r="K36" s="74"/>
      <c r="L36" s="74"/>
      <c r="N36" s="81" t="s">
        <v>57</v>
      </c>
      <c r="O36" s="82"/>
      <c r="P36" s="82"/>
      <c r="Q36" s="83"/>
    </row>
    <row r="37" spans="3:18" ht="19" x14ac:dyDescent="0.25">
      <c r="C37" s="55"/>
      <c r="D37" s="74" t="s">
        <v>721</v>
      </c>
      <c r="E37" s="74"/>
      <c r="F37" s="1" t="s">
        <v>520</v>
      </c>
      <c r="G37" s="1">
        <v>0</v>
      </c>
      <c r="H37" s="1"/>
      <c r="I37" s="1">
        <v>18</v>
      </c>
      <c r="J37" s="74" t="s">
        <v>728</v>
      </c>
      <c r="K37" s="74"/>
      <c r="L37" s="74"/>
      <c r="N37" s="6" t="s">
        <v>63</v>
      </c>
      <c r="O37" s="6" t="s">
        <v>53</v>
      </c>
      <c r="P37" s="6" t="s">
        <v>400</v>
      </c>
      <c r="Q37" s="6" t="s">
        <v>456</v>
      </c>
    </row>
    <row r="38" spans="3:18" ht="19" x14ac:dyDescent="0.25">
      <c r="C38" s="55"/>
      <c r="D38" s="74" t="s">
        <v>722</v>
      </c>
      <c r="E38" s="74"/>
      <c r="F38" s="1" t="s">
        <v>520</v>
      </c>
      <c r="G38" s="1">
        <v>0</v>
      </c>
      <c r="H38" s="1"/>
      <c r="I38" s="1">
        <v>10</v>
      </c>
      <c r="J38" s="74" t="s">
        <v>728</v>
      </c>
      <c r="K38" s="74"/>
      <c r="L38" s="74"/>
      <c r="N38" s="5">
        <f>(F15+O21+G94+G119)*R3+O9+P28</f>
        <v>224403.19999999998</v>
      </c>
      <c r="O38" s="5">
        <f>G15+O9+P28+P21+H94+H119+R33</f>
        <v>0</v>
      </c>
      <c r="P38" s="5"/>
      <c r="Q38" s="5">
        <f>P38+O38</f>
        <v>0</v>
      </c>
    </row>
    <row r="39" spans="3:18" x14ac:dyDescent="0.2">
      <c r="C39" s="55"/>
      <c r="D39" s="74" t="s">
        <v>723</v>
      </c>
      <c r="E39" s="74"/>
      <c r="F39" s="1" t="s">
        <v>520</v>
      </c>
      <c r="G39" s="1">
        <v>7</v>
      </c>
      <c r="H39" s="1"/>
      <c r="I39" s="1">
        <v>12</v>
      </c>
      <c r="J39" s="74" t="s">
        <v>862</v>
      </c>
      <c r="K39" s="74"/>
      <c r="L39" s="74"/>
      <c r="N39" s="53"/>
    </row>
    <row r="40" spans="3:18" x14ac:dyDescent="0.2">
      <c r="C40" s="55"/>
      <c r="D40" s="74" t="s">
        <v>724</v>
      </c>
      <c r="E40" s="74"/>
      <c r="F40" s="1" t="s">
        <v>520</v>
      </c>
      <c r="G40" s="1">
        <v>0</v>
      </c>
      <c r="H40" s="1"/>
      <c r="I40" s="1">
        <v>10</v>
      </c>
      <c r="J40" s="74" t="s">
        <v>728</v>
      </c>
      <c r="K40" s="74"/>
      <c r="L40" s="74"/>
    </row>
    <row r="41" spans="3:18" x14ac:dyDescent="0.2">
      <c r="C41" s="55"/>
      <c r="D41" s="74" t="s">
        <v>725</v>
      </c>
      <c r="E41" s="74"/>
      <c r="F41" s="1" t="s">
        <v>520</v>
      </c>
      <c r="G41" s="1">
        <v>0</v>
      </c>
      <c r="H41" s="1"/>
      <c r="I41" s="1">
        <v>12</v>
      </c>
      <c r="J41" s="74" t="s">
        <v>728</v>
      </c>
      <c r="K41" s="74"/>
      <c r="L41" s="74"/>
    </row>
    <row r="42" spans="3:18" x14ac:dyDescent="0.2">
      <c r="C42" s="55"/>
      <c r="D42" s="74" t="s">
        <v>726</v>
      </c>
      <c r="E42" s="74"/>
      <c r="F42" s="1" t="s">
        <v>520</v>
      </c>
      <c r="G42" s="1">
        <v>159</v>
      </c>
      <c r="H42" s="1"/>
      <c r="I42" s="1"/>
      <c r="J42" s="74"/>
      <c r="K42" s="74"/>
      <c r="L42" s="74"/>
    </row>
    <row r="43" spans="3:18" x14ac:dyDescent="0.2">
      <c r="C43" s="55"/>
      <c r="D43" s="74" t="s">
        <v>731</v>
      </c>
      <c r="E43" s="74"/>
      <c r="F43" s="1" t="s">
        <v>519</v>
      </c>
      <c r="G43" s="1">
        <v>30</v>
      </c>
      <c r="H43" s="1"/>
      <c r="I43" s="1"/>
      <c r="J43" s="74"/>
      <c r="K43" s="74"/>
      <c r="L43" s="74"/>
    </row>
    <row r="44" spans="3:18" x14ac:dyDescent="0.2">
      <c r="C44" s="56"/>
      <c r="D44" s="74" t="s">
        <v>535</v>
      </c>
      <c r="E44" s="74"/>
      <c r="F44" s="1" t="s">
        <v>519</v>
      </c>
      <c r="G44" s="1">
        <v>0</v>
      </c>
      <c r="H44" s="57"/>
      <c r="I44" s="1">
        <v>20</v>
      </c>
      <c r="J44" s="74" t="s">
        <v>748</v>
      </c>
      <c r="K44" s="74"/>
      <c r="L44" s="74"/>
    </row>
    <row r="45" spans="3:18" x14ac:dyDescent="0.2">
      <c r="C45" s="56"/>
      <c r="D45" s="74" t="s">
        <v>732</v>
      </c>
      <c r="E45" s="74"/>
      <c r="F45" s="1" t="s">
        <v>519</v>
      </c>
      <c r="G45" s="1">
        <v>0</v>
      </c>
      <c r="H45" s="57"/>
      <c r="I45" s="1"/>
      <c r="J45" s="74" t="s">
        <v>748</v>
      </c>
      <c r="K45" s="74"/>
      <c r="L45" s="74"/>
    </row>
    <row r="46" spans="3:18" x14ac:dyDescent="0.2">
      <c r="C46" s="56"/>
      <c r="D46" s="74" t="s">
        <v>536</v>
      </c>
      <c r="E46" s="74"/>
      <c r="F46" s="1" t="s">
        <v>519</v>
      </c>
      <c r="G46" s="1">
        <v>0</v>
      </c>
      <c r="H46" s="57"/>
      <c r="I46" s="1">
        <v>10</v>
      </c>
      <c r="J46" s="74" t="s">
        <v>748</v>
      </c>
      <c r="K46" s="74"/>
      <c r="L46" s="74"/>
    </row>
    <row r="47" spans="3:18" x14ac:dyDescent="0.2">
      <c r="C47" s="56"/>
      <c r="D47" s="74" t="s">
        <v>733</v>
      </c>
      <c r="E47" s="74"/>
      <c r="F47" s="1" t="s">
        <v>519</v>
      </c>
      <c r="G47" s="1">
        <v>0</v>
      </c>
      <c r="H47" s="57"/>
      <c r="I47" s="1">
        <v>9</v>
      </c>
      <c r="J47" s="74" t="s">
        <v>748</v>
      </c>
      <c r="K47" s="74"/>
      <c r="L47" s="74"/>
    </row>
    <row r="48" spans="3:18" x14ac:dyDescent="0.2">
      <c r="C48" s="56"/>
      <c r="D48" s="74" t="s">
        <v>734</v>
      </c>
      <c r="E48" s="74"/>
      <c r="F48" s="1" t="s">
        <v>519</v>
      </c>
      <c r="G48" s="1">
        <v>10</v>
      </c>
      <c r="H48" s="57"/>
      <c r="I48" s="1"/>
      <c r="J48" s="74"/>
      <c r="K48" s="74"/>
      <c r="L48" s="74"/>
    </row>
    <row r="49" spans="3:12" x14ac:dyDescent="0.2">
      <c r="C49" s="55"/>
      <c r="D49" s="152" t="s">
        <v>540</v>
      </c>
      <c r="E49" s="153"/>
      <c r="F49" s="32" t="s">
        <v>541</v>
      </c>
      <c r="G49" s="32">
        <v>27</v>
      </c>
      <c r="H49" s="1"/>
      <c r="I49" s="1"/>
      <c r="J49" s="74"/>
      <c r="K49" s="74"/>
      <c r="L49" s="74"/>
    </row>
    <row r="50" spans="3:12" x14ac:dyDescent="0.2">
      <c r="C50" s="56"/>
      <c r="D50" s="74" t="s">
        <v>736</v>
      </c>
      <c r="E50" s="74"/>
      <c r="F50" s="1" t="s">
        <v>735</v>
      </c>
      <c r="G50" s="1">
        <v>0</v>
      </c>
      <c r="H50" s="57"/>
      <c r="I50" s="1">
        <v>8</v>
      </c>
      <c r="J50" s="74" t="s">
        <v>749</v>
      </c>
      <c r="K50" s="74"/>
      <c r="L50" s="74"/>
    </row>
    <row r="51" spans="3:12" x14ac:dyDescent="0.2">
      <c r="C51" s="56"/>
      <c r="D51" s="74" t="s">
        <v>737</v>
      </c>
      <c r="E51" s="74"/>
      <c r="F51" s="1" t="s">
        <v>735</v>
      </c>
      <c r="G51" s="1">
        <v>0</v>
      </c>
      <c r="H51" s="57"/>
      <c r="I51" s="1">
        <v>8</v>
      </c>
      <c r="J51" s="74" t="s">
        <v>749</v>
      </c>
      <c r="K51" s="74"/>
      <c r="L51" s="74"/>
    </row>
    <row r="52" spans="3:12" x14ac:dyDescent="0.2">
      <c r="C52" s="56"/>
      <c r="D52" s="74" t="s">
        <v>738</v>
      </c>
      <c r="E52" s="74"/>
      <c r="F52" s="1" t="s">
        <v>735</v>
      </c>
      <c r="G52" s="1">
        <v>0</v>
      </c>
      <c r="H52" s="57"/>
      <c r="I52" s="1">
        <v>10</v>
      </c>
      <c r="J52" s="74" t="s">
        <v>749</v>
      </c>
      <c r="K52" s="74"/>
      <c r="L52" s="74"/>
    </row>
    <row r="53" spans="3:12" x14ac:dyDescent="0.2">
      <c r="C53" s="56"/>
      <c r="D53" s="74" t="s">
        <v>537</v>
      </c>
      <c r="E53" s="74"/>
      <c r="F53" s="1" t="s">
        <v>519</v>
      </c>
      <c r="G53" s="1">
        <v>0</v>
      </c>
      <c r="H53" s="57"/>
      <c r="I53" s="1">
        <v>20</v>
      </c>
      <c r="J53" s="74" t="s">
        <v>748</v>
      </c>
      <c r="K53" s="74"/>
      <c r="L53" s="74"/>
    </row>
    <row r="54" spans="3:12" x14ac:dyDescent="0.2">
      <c r="C54" s="56"/>
      <c r="D54" s="74" t="s">
        <v>739</v>
      </c>
      <c r="E54" s="74"/>
      <c r="F54" s="1" t="s">
        <v>519</v>
      </c>
      <c r="G54" s="1">
        <v>0</v>
      </c>
      <c r="H54" s="57"/>
      <c r="I54" s="1">
        <v>11</v>
      </c>
      <c r="J54" s="74" t="s">
        <v>748</v>
      </c>
      <c r="K54" s="74"/>
      <c r="L54" s="74"/>
    </row>
    <row r="55" spans="3:12" x14ac:dyDescent="0.2">
      <c r="C55" s="56"/>
      <c r="D55" s="74" t="s">
        <v>740</v>
      </c>
      <c r="E55" s="74"/>
      <c r="F55" s="1" t="s">
        <v>519</v>
      </c>
      <c r="G55" s="1">
        <v>0</v>
      </c>
      <c r="H55" s="57"/>
      <c r="I55" s="1">
        <v>29</v>
      </c>
      <c r="J55" s="74" t="s">
        <v>748</v>
      </c>
      <c r="K55" s="74"/>
      <c r="L55" s="74"/>
    </row>
    <row r="56" spans="3:12" x14ac:dyDescent="0.2">
      <c r="C56" s="56"/>
      <c r="D56" s="74" t="s">
        <v>741</v>
      </c>
      <c r="E56" s="74"/>
      <c r="F56" s="1" t="s">
        <v>519</v>
      </c>
      <c r="G56" s="1">
        <v>0</v>
      </c>
      <c r="H56" s="57"/>
      <c r="I56" s="1">
        <v>19</v>
      </c>
      <c r="J56" s="74" t="s">
        <v>748</v>
      </c>
      <c r="K56" s="74"/>
      <c r="L56" s="74"/>
    </row>
    <row r="57" spans="3:12" x14ac:dyDescent="0.2">
      <c r="C57" s="56"/>
      <c r="D57" s="74" t="s">
        <v>742</v>
      </c>
      <c r="E57" s="74"/>
      <c r="F57" s="1" t="s">
        <v>519</v>
      </c>
      <c r="G57" s="1">
        <v>0</v>
      </c>
      <c r="H57" s="57"/>
      <c r="I57" s="1">
        <v>13</v>
      </c>
      <c r="J57" s="74" t="s">
        <v>748</v>
      </c>
      <c r="K57" s="74"/>
      <c r="L57" s="74"/>
    </row>
    <row r="58" spans="3:12" x14ac:dyDescent="0.2">
      <c r="C58" s="56"/>
      <c r="D58" s="74" t="s">
        <v>743</v>
      </c>
      <c r="E58" s="74"/>
      <c r="F58" s="1" t="s">
        <v>519</v>
      </c>
      <c r="G58" s="1">
        <v>0</v>
      </c>
      <c r="H58" s="57"/>
      <c r="I58" s="1">
        <v>10</v>
      </c>
      <c r="J58" s="74" t="s">
        <v>748</v>
      </c>
      <c r="K58" s="74"/>
      <c r="L58" s="74"/>
    </row>
    <row r="59" spans="3:12" x14ac:dyDescent="0.2">
      <c r="C59" s="56"/>
      <c r="D59" s="74" t="s">
        <v>538</v>
      </c>
      <c r="E59" s="74"/>
      <c r="F59" s="1" t="s">
        <v>539</v>
      </c>
      <c r="G59" s="1">
        <v>30</v>
      </c>
      <c r="H59" s="57"/>
      <c r="I59" s="1"/>
      <c r="J59" s="74" t="s">
        <v>704</v>
      </c>
      <c r="K59" s="74"/>
      <c r="L59" s="74"/>
    </row>
    <row r="60" spans="3:12" x14ac:dyDescent="0.2">
      <c r="C60" s="56"/>
      <c r="D60" s="74" t="s">
        <v>744</v>
      </c>
      <c r="E60" s="74"/>
      <c r="F60" s="1" t="s">
        <v>539</v>
      </c>
      <c r="G60" s="1"/>
      <c r="H60" s="57"/>
      <c r="I60" s="1"/>
      <c r="J60" s="74" t="s">
        <v>863</v>
      </c>
      <c r="K60" s="74"/>
      <c r="L60" s="74"/>
    </row>
    <row r="61" spans="3:12" x14ac:dyDescent="0.2">
      <c r="C61" s="56"/>
      <c r="D61" s="74" t="s">
        <v>745</v>
      </c>
      <c r="E61" s="74"/>
      <c r="F61" s="1" t="s">
        <v>539</v>
      </c>
      <c r="G61" s="1">
        <v>20</v>
      </c>
      <c r="H61" s="57"/>
      <c r="I61" s="1"/>
      <c r="J61" s="74" t="s">
        <v>746</v>
      </c>
      <c r="K61" s="74"/>
      <c r="L61" s="74"/>
    </row>
    <row r="62" spans="3:12" x14ac:dyDescent="0.2">
      <c r="C62" s="56"/>
      <c r="D62" s="74" t="s">
        <v>747</v>
      </c>
      <c r="E62" s="74"/>
      <c r="F62" s="1" t="s">
        <v>539</v>
      </c>
      <c r="G62" s="1"/>
      <c r="H62" s="57"/>
      <c r="I62" s="1"/>
      <c r="J62" s="74"/>
      <c r="K62" s="74"/>
      <c r="L62" s="74"/>
    </row>
    <row r="63" spans="3:12" x14ac:dyDescent="0.2">
      <c r="C63" s="56"/>
      <c r="D63" s="74" t="s">
        <v>750</v>
      </c>
      <c r="E63" s="74"/>
      <c r="F63" s="1" t="s">
        <v>547</v>
      </c>
      <c r="G63" s="1">
        <v>12</v>
      </c>
      <c r="H63" s="57"/>
      <c r="I63" s="1"/>
      <c r="J63" s="74"/>
      <c r="K63" s="74"/>
      <c r="L63" s="74"/>
    </row>
    <row r="64" spans="3:12" x14ac:dyDescent="0.2">
      <c r="C64" s="56"/>
      <c r="D64" s="74" t="s">
        <v>751</v>
      </c>
      <c r="E64" s="74"/>
      <c r="F64" s="1" t="s">
        <v>547</v>
      </c>
      <c r="G64" s="1">
        <v>7</v>
      </c>
      <c r="H64" s="57"/>
      <c r="I64" s="1"/>
      <c r="J64" s="74"/>
      <c r="K64" s="74"/>
      <c r="L64" s="74"/>
    </row>
    <row r="65" spans="3:12" x14ac:dyDescent="0.2">
      <c r="C65" s="56"/>
      <c r="D65" s="74" t="s">
        <v>752</v>
      </c>
      <c r="E65" s="74"/>
      <c r="F65" s="1" t="s">
        <v>547</v>
      </c>
      <c r="G65" s="1">
        <v>18</v>
      </c>
      <c r="H65" s="57"/>
      <c r="I65" s="1"/>
      <c r="J65" s="74"/>
      <c r="K65" s="74"/>
      <c r="L65" s="74"/>
    </row>
    <row r="66" spans="3:12" x14ac:dyDescent="0.2">
      <c r="C66" s="56"/>
      <c r="D66" s="74" t="s">
        <v>753</v>
      </c>
      <c r="E66" s="74"/>
      <c r="F66" s="1" t="s">
        <v>547</v>
      </c>
      <c r="G66" s="1">
        <v>13</v>
      </c>
      <c r="H66" s="57"/>
      <c r="I66" s="1"/>
      <c r="J66" s="74"/>
      <c r="K66" s="74"/>
      <c r="L66" s="74"/>
    </row>
    <row r="67" spans="3:12" x14ac:dyDescent="0.2">
      <c r="C67" s="56"/>
      <c r="D67" s="74" t="s">
        <v>754</v>
      </c>
      <c r="E67" s="74"/>
      <c r="F67" s="1" t="s">
        <v>547</v>
      </c>
      <c r="G67" s="1">
        <v>0</v>
      </c>
      <c r="H67" s="57"/>
      <c r="I67" s="1">
        <v>15</v>
      </c>
      <c r="J67" s="74" t="s">
        <v>864</v>
      </c>
      <c r="K67" s="74"/>
      <c r="L67" s="74"/>
    </row>
    <row r="68" spans="3:12" x14ac:dyDescent="0.2">
      <c r="C68" s="56"/>
      <c r="D68" s="74" t="s">
        <v>755</v>
      </c>
      <c r="E68" s="74"/>
      <c r="F68" s="1" t="s">
        <v>547</v>
      </c>
      <c r="G68" s="1">
        <v>15</v>
      </c>
      <c r="H68" s="57"/>
      <c r="I68" s="1"/>
      <c r="J68" s="74"/>
      <c r="K68" s="74"/>
      <c r="L68" s="74"/>
    </row>
    <row r="69" spans="3:12" x14ac:dyDescent="0.2">
      <c r="C69" s="56"/>
      <c r="D69" s="74" t="s">
        <v>756</v>
      </c>
      <c r="E69" s="74"/>
      <c r="F69" s="1" t="s">
        <v>756</v>
      </c>
      <c r="G69" s="1">
        <v>0</v>
      </c>
      <c r="H69" s="57"/>
      <c r="I69" s="1">
        <v>30</v>
      </c>
      <c r="J69" s="74" t="s">
        <v>864</v>
      </c>
      <c r="K69" s="74"/>
      <c r="L69" s="74"/>
    </row>
    <row r="70" spans="3:12" x14ac:dyDescent="0.2">
      <c r="C70" s="56"/>
      <c r="D70" s="74" t="s">
        <v>757</v>
      </c>
      <c r="E70" s="74"/>
      <c r="F70" s="1" t="s">
        <v>547</v>
      </c>
      <c r="G70" s="1">
        <v>0</v>
      </c>
      <c r="H70" s="57"/>
      <c r="I70" s="1">
        <v>20</v>
      </c>
      <c r="J70" s="74" t="s">
        <v>864</v>
      </c>
      <c r="K70" s="74"/>
      <c r="L70" s="74"/>
    </row>
    <row r="71" spans="3:12" x14ac:dyDescent="0.2">
      <c r="C71" s="56"/>
      <c r="D71" s="74" t="s">
        <v>758</v>
      </c>
      <c r="E71" s="74"/>
      <c r="F71" s="1" t="s">
        <v>547</v>
      </c>
      <c r="G71" s="1">
        <v>0</v>
      </c>
      <c r="H71" s="57"/>
      <c r="I71" s="1">
        <v>16</v>
      </c>
      <c r="J71" s="74" t="s">
        <v>864</v>
      </c>
      <c r="K71" s="74"/>
      <c r="L71" s="74"/>
    </row>
    <row r="72" spans="3:12" x14ac:dyDescent="0.2">
      <c r="C72" s="56"/>
      <c r="D72" s="74" t="s">
        <v>759</v>
      </c>
      <c r="E72" s="74"/>
      <c r="F72" s="1" t="s">
        <v>547</v>
      </c>
      <c r="G72" s="1">
        <v>8</v>
      </c>
      <c r="H72" s="57"/>
      <c r="I72" s="1"/>
      <c r="J72" s="74"/>
      <c r="K72" s="74"/>
      <c r="L72" s="74"/>
    </row>
    <row r="73" spans="3:12" x14ac:dyDescent="0.2">
      <c r="C73" s="56"/>
      <c r="D73" s="74" t="s">
        <v>760</v>
      </c>
      <c r="E73" s="74"/>
      <c r="F73" s="1" t="s">
        <v>518</v>
      </c>
      <c r="G73" s="1">
        <v>10</v>
      </c>
      <c r="H73" s="57"/>
      <c r="I73" s="1"/>
      <c r="J73" s="74"/>
      <c r="K73" s="74"/>
      <c r="L73" s="74"/>
    </row>
    <row r="74" spans="3:12" x14ac:dyDescent="0.2">
      <c r="C74" s="56"/>
      <c r="D74" s="74" t="s">
        <v>525</v>
      </c>
      <c r="E74" s="74"/>
      <c r="F74" s="1" t="s">
        <v>518</v>
      </c>
      <c r="G74" s="1">
        <v>24</v>
      </c>
      <c r="H74" s="57"/>
      <c r="I74" s="1"/>
      <c r="J74" s="74"/>
      <c r="K74" s="74"/>
      <c r="L74" s="74"/>
    </row>
    <row r="75" spans="3:12" x14ac:dyDescent="0.2">
      <c r="C75" s="56"/>
      <c r="D75" s="74" t="s">
        <v>528</v>
      </c>
      <c r="E75" s="74"/>
      <c r="F75" s="1" t="s">
        <v>527</v>
      </c>
      <c r="G75" s="1">
        <v>22</v>
      </c>
      <c r="H75" s="57"/>
      <c r="I75" s="1"/>
      <c r="J75" s="74"/>
      <c r="K75" s="74"/>
      <c r="L75" s="74"/>
    </row>
    <row r="76" spans="3:12" x14ac:dyDescent="0.2">
      <c r="C76" s="56"/>
      <c r="D76" s="74" t="s">
        <v>526</v>
      </c>
      <c r="E76" s="74"/>
      <c r="F76" s="1" t="s">
        <v>527</v>
      </c>
      <c r="G76" s="1">
        <v>40</v>
      </c>
      <c r="H76" s="57"/>
      <c r="I76" s="1"/>
      <c r="J76" s="74" t="s">
        <v>704</v>
      </c>
      <c r="K76" s="74"/>
      <c r="L76" s="74"/>
    </row>
    <row r="77" spans="3:12" x14ac:dyDescent="0.2">
      <c r="C77" s="56"/>
      <c r="D77" s="152" t="s">
        <v>761</v>
      </c>
      <c r="E77" s="153"/>
      <c r="F77" s="32" t="s">
        <v>518</v>
      </c>
      <c r="G77" s="32">
        <v>16</v>
      </c>
      <c r="H77" s="57"/>
      <c r="I77" s="1"/>
      <c r="J77" s="74"/>
      <c r="K77" s="74"/>
      <c r="L77" s="74"/>
    </row>
    <row r="78" spans="3:12" x14ac:dyDescent="0.2">
      <c r="C78" s="56"/>
      <c r="D78" s="74" t="s">
        <v>524</v>
      </c>
      <c r="E78" s="74"/>
      <c r="F78" s="1" t="s">
        <v>518</v>
      </c>
      <c r="G78" s="1">
        <v>5</v>
      </c>
      <c r="H78" s="57"/>
      <c r="I78" s="1"/>
      <c r="J78" s="74"/>
      <c r="K78" s="74"/>
      <c r="L78" s="74"/>
    </row>
    <row r="79" spans="3:12" x14ac:dyDescent="0.2">
      <c r="C79" s="56"/>
      <c r="D79" s="74" t="s">
        <v>762</v>
      </c>
      <c r="E79" s="74"/>
      <c r="F79" s="1" t="s">
        <v>518</v>
      </c>
      <c r="G79" s="1">
        <v>17</v>
      </c>
      <c r="H79" s="57"/>
      <c r="I79" s="1"/>
      <c r="J79" s="74"/>
      <c r="K79" s="74"/>
      <c r="L79" s="74"/>
    </row>
    <row r="80" spans="3:12" x14ac:dyDescent="0.2">
      <c r="C80" s="56"/>
      <c r="D80" s="74" t="s">
        <v>529</v>
      </c>
      <c r="E80" s="74"/>
      <c r="F80" s="1" t="s">
        <v>518</v>
      </c>
      <c r="G80" s="1">
        <v>25</v>
      </c>
      <c r="H80" s="57"/>
      <c r="I80" s="1"/>
      <c r="J80" s="74" t="s">
        <v>704</v>
      </c>
      <c r="K80" s="74"/>
      <c r="L80" s="74"/>
    </row>
    <row r="81" spans="3:12" x14ac:dyDescent="0.2">
      <c r="C81" s="56"/>
      <c r="D81" s="74" t="s">
        <v>763</v>
      </c>
      <c r="E81" s="74"/>
      <c r="F81" s="1" t="s">
        <v>518</v>
      </c>
      <c r="G81" s="1">
        <v>17.5</v>
      </c>
      <c r="H81" s="57"/>
      <c r="I81" s="1"/>
      <c r="J81" s="74"/>
      <c r="K81" s="74"/>
      <c r="L81" s="74"/>
    </row>
    <row r="82" spans="3:12" x14ac:dyDescent="0.2">
      <c r="C82" s="56"/>
      <c r="D82" s="74" t="s">
        <v>764</v>
      </c>
      <c r="E82" s="74"/>
      <c r="F82" s="1" t="s">
        <v>518</v>
      </c>
      <c r="G82" s="1">
        <v>7</v>
      </c>
      <c r="H82" s="57"/>
      <c r="I82" s="1"/>
      <c r="J82" s="74"/>
      <c r="K82" s="74"/>
      <c r="L82" s="74"/>
    </row>
    <row r="83" spans="3:12" x14ac:dyDescent="0.2">
      <c r="C83" s="56"/>
      <c r="D83" s="74" t="s">
        <v>765</v>
      </c>
      <c r="E83" s="74"/>
      <c r="F83" s="1" t="s">
        <v>518</v>
      </c>
      <c r="G83" s="1">
        <v>2</v>
      </c>
      <c r="H83" s="57"/>
      <c r="I83" s="1"/>
      <c r="J83" s="74"/>
      <c r="K83" s="74"/>
      <c r="L83" s="74"/>
    </row>
    <row r="84" spans="3:12" x14ac:dyDescent="0.2">
      <c r="C84" s="56"/>
      <c r="D84" s="74" t="s">
        <v>766</v>
      </c>
      <c r="E84" s="74"/>
      <c r="F84" s="1" t="s">
        <v>518</v>
      </c>
      <c r="G84" s="1">
        <v>35</v>
      </c>
      <c r="H84" s="57"/>
      <c r="I84" s="1"/>
      <c r="J84" s="74"/>
      <c r="K84" s="74"/>
      <c r="L84" s="74"/>
    </row>
    <row r="85" spans="3:12" x14ac:dyDescent="0.2">
      <c r="C85" s="56"/>
      <c r="D85" s="74" t="s">
        <v>533</v>
      </c>
      <c r="E85" s="74"/>
      <c r="F85" s="1" t="s">
        <v>518</v>
      </c>
      <c r="G85" s="1">
        <v>16</v>
      </c>
      <c r="H85" s="57"/>
      <c r="I85" s="1"/>
      <c r="J85" s="74"/>
      <c r="K85" s="74"/>
      <c r="L85" s="74"/>
    </row>
    <row r="86" spans="3:12" x14ac:dyDescent="0.2">
      <c r="C86" s="56"/>
      <c r="D86" s="74" t="s">
        <v>530</v>
      </c>
      <c r="E86" s="74"/>
      <c r="F86" s="1" t="s">
        <v>531</v>
      </c>
      <c r="G86" s="1">
        <v>27</v>
      </c>
      <c r="H86" s="57"/>
      <c r="I86" s="1"/>
      <c r="J86" s="74"/>
      <c r="K86" s="74"/>
      <c r="L86" s="74"/>
    </row>
    <row r="87" spans="3:12" x14ac:dyDescent="0.2">
      <c r="C87" s="56"/>
      <c r="D87" s="74" t="s">
        <v>532</v>
      </c>
      <c r="E87" s="74"/>
      <c r="F87" s="1"/>
      <c r="G87" s="1">
        <v>18</v>
      </c>
      <c r="H87" s="57"/>
      <c r="I87" s="1"/>
      <c r="J87" s="74"/>
      <c r="K87" s="74"/>
      <c r="L87" s="74"/>
    </row>
    <row r="88" spans="3:12" x14ac:dyDescent="0.2">
      <c r="C88" s="56"/>
      <c r="D88" s="67"/>
      <c r="E88" s="68"/>
      <c r="F88" s="57"/>
      <c r="G88" s="57"/>
      <c r="H88" s="57"/>
      <c r="I88" s="57"/>
      <c r="J88" s="74"/>
      <c r="K88" s="74"/>
      <c r="L88" s="74"/>
    </row>
    <row r="89" spans="3:12" x14ac:dyDescent="0.2">
      <c r="C89" s="56"/>
      <c r="D89" s="67"/>
      <c r="E89" s="68"/>
      <c r="F89" s="57"/>
      <c r="G89" s="57"/>
      <c r="H89" s="57"/>
      <c r="I89" s="57"/>
      <c r="J89" s="74"/>
      <c r="K89" s="74"/>
      <c r="L89" s="74"/>
    </row>
    <row r="90" spans="3:12" x14ac:dyDescent="0.2">
      <c r="C90" s="56"/>
      <c r="D90" s="67"/>
      <c r="E90" s="68"/>
      <c r="F90" s="57"/>
      <c r="G90" s="57"/>
      <c r="H90" s="57"/>
      <c r="I90" s="57"/>
      <c r="J90" s="74"/>
      <c r="K90" s="74"/>
      <c r="L90" s="74"/>
    </row>
    <row r="91" spans="3:12" x14ac:dyDescent="0.2">
      <c r="C91" s="55"/>
      <c r="D91" s="79"/>
      <c r="E91" s="80"/>
      <c r="F91" s="1"/>
      <c r="G91" s="1"/>
      <c r="H91" s="1"/>
      <c r="I91" s="57"/>
      <c r="J91" s="74"/>
      <c r="K91" s="74"/>
      <c r="L91" s="74"/>
    </row>
    <row r="92" spans="3:12" x14ac:dyDescent="0.2">
      <c r="C92" s="56"/>
      <c r="D92" s="67"/>
      <c r="E92" s="68"/>
      <c r="F92" s="57"/>
      <c r="G92" s="57"/>
      <c r="H92" s="57"/>
      <c r="I92" s="57"/>
      <c r="J92" s="74"/>
      <c r="K92" s="74"/>
      <c r="L92" s="74"/>
    </row>
    <row r="93" spans="3:12" ht="19" x14ac:dyDescent="0.25">
      <c r="C93" s="1"/>
      <c r="D93" s="79"/>
      <c r="E93" s="80"/>
      <c r="F93" s="3"/>
      <c r="G93" s="4"/>
      <c r="H93" s="4"/>
      <c r="I93" s="3"/>
      <c r="J93" s="150"/>
      <c r="K93" s="99"/>
      <c r="L93" s="100"/>
    </row>
    <row r="94" spans="3:12" ht="19" x14ac:dyDescent="0.25">
      <c r="C94" s="1"/>
      <c r="D94" s="79"/>
      <c r="E94" s="80"/>
      <c r="F94" s="14"/>
      <c r="G94" s="4">
        <f>SUM(G20:G92)</f>
        <v>801.5</v>
      </c>
      <c r="H94" s="5">
        <f>SUM(H20:H92)</f>
        <v>0</v>
      </c>
      <c r="I94" s="3">
        <f>SUM(I20:I92)</f>
        <v>386</v>
      </c>
      <c r="J94" s="151"/>
      <c r="K94" s="101"/>
      <c r="L94" s="102"/>
    </row>
    <row r="95" spans="3:12" x14ac:dyDescent="0.2">
      <c r="C95" s="89"/>
      <c r="D95" s="89"/>
      <c r="E95" s="89"/>
      <c r="F95" s="89"/>
      <c r="G95" s="89"/>
      <c r="H95" s="89"/>
      <c r="I95" s="89"/>
      <c r="J95" s="89"/>
      <c r="K95" s="89"/>
      <c r="L95" s="89"/>
    </row>
    <row r="96" spans="3:12" x14ac:dyDescent="0.2">
      <c r="C96" s="90"/>
      <c r="D96" s="90"/>
      <c r="E96" s="90"/>
      <c r="F96" s="90"/>
      <c r="G96" s="90"/>
      <c r="H96" s="90"/>
      <c r="I96" s="90"/>
      <c r="J96" s="90"/>
      <c r="K96" s="90"/>
      <c r="L96" s="90"/>
    </row>
    <row r="97" spans="3:12" ht="19" x14ac:dyDescent="0.25">
      <c r="C97" s="81" t="s">
        <v>33</v>
      </c>
      <c r="D97" s="82"/>
      <c r="E97" s="82"/>
      <c r="F97" s="82"/>
      <c r="G97" s="82"/>
      <c r="H97" s="82"/>
      <c r="I97" s="82"/>
      <c r="J97" s="82"/>
      <c r="K97" s="82"/>
      <c r="L97" s="83"/>
    </row>
    <row r="98" spans="3:12" ht="19" x14ac:dyDescent="0.25">
      <c r="C98" s="6" t="s">
        <v>20</v>
      </c>
      <c r="D98" s="6" t="s">
        <v>65</v>
      </c>
      <c r="E98" s="6" t="s">
        <v>66</v>
      </c>
      <c r="F98" s="6" t="s">
        <v>196</v>
      </c>
      <c r="G98" s="6" t="s">
        <v>230</v>
      </c>
      <c r="H98" s="6" t="s">
        <v>53</v>
      </c>
      <c r="I98" s="6" t="s">
        <v>195</v>
      </c>
      <c r="J98" s="116" t="s">
        <v>7</v>
      </c>
      <c r="K98" s="117"/>
      <c r="L98" s="149"/>
    </row>
    <row r="99" spans="3:12" x14ac:dyDescent="0.2">
      <c r="C99" s="27"/>
      <c r="D99" s="1" t="s">
        <v>523</v>
      </c>
      <c r="E99" s="1" t="s">
        <v>706</v>
      </c>
      <c r="F99" s="1" t="s">
        <v>219</v>
      </c>
      <c r="G99" s="1">
        <v>6.7</v>
      </c>
      <c r="H99" s="1"/>
      <c r="I99" s="1"/>
      <c r="J99" s="74"/>
      <c r="K99" s="74"/>
      <c r="L99" s="74"/>
    </row>
    <row r="100" spans="3:12" x14ac:dyDescent="0.2">
      <c r="C100" s="27"/>
      <c r="D100" s="1" t="s">
        <v>707</v>
      </c>
      <c r="E100" s="1" t="s">
        <v>708</v>
      </c>
      <c r="F100" s="1" t="s">
        <v>709</v>
      </c>
      <c r="G100" s="1">
        <v>4.5999999999999996</v>
      </c>
      <c r="H100" s="1"/>
      <c r="I100" s="1"/>
      <c r="J100" s="74"/>
      <c r="K100" s="74"/>
      <c r="L100" s="74"/>
    </row>
    <row r="101" spans="3:12" x14ac:dyDescent="0.2">
      <c r="C101" s="27"/>
      <c r="D101" s="1" t="s">
        <v>708</v>
      </c>
      <c r="E101" s="1" t="s">
        <v>710</v>
      </c>
      <c r="F101" s="1" t="s">
        <v>709</v>
      </c>
      <c r="G101" s="1">
        <v>4.5999999999999996</v>
      </c>
      <c r="H101" s="1"/>
      <c r="I101" s="1"/>
      <c r="J101" s="74"/>
      <c r="K101" s="74"/>
      <c r="L101" s="74"/>
    </row>
    <row r="102" spans="3:12" x14ac:dyDescent="0.2">
      <c r="C102" s="27"/>
      <c r="D102" s="1" t="s">
        <v>710</v>
      </c>
      <c r="E102" s="1" t="s">
        <v>707</v>
      </c>
      <c r="F102" s="1" t="s">
        <v>709</v>
      </c>
      <c r="G102" s="1"/>
      <c r="H102" s="1"/>
      <c r="I102" s="1"/>
      <c r="J102" s="74"/>
      <c r="K102" s="74"/>
      <c r="L102" s="74"/>
    </row>
    <row r="103" spans="3:12" x14ac:dyDescent="0.2">
      <c r="C103" s="27"/>
      <c r="D103" s="1" t="s">
        <v>706</v>
      </c>
      <c r="E103" s="1" t="s">
        <v>523</v>
      </c>
      <c r="F103" s="1" t="s">
        <v>219</v>
      </c>
      <c r="G103" s="1">
        <v>6.7</v>
      </c>
      <c r="H103" s="1"/>
      <c r="I103" s="1"/>
      <c r="J103" s="74"/>
      <c r="K103" s="74"/>
      <c r="L103" s="74"/>
    </row>
    <row r="104" spans="3:12" x14ac:dyDescent="0.2">
      <c r="C104" s="27"/>
      <c r="D104" s="1" t="s">
        <v>523</v>
      </c>
      <c r="E104" s="1" t="s">
        <v>544</v>
      </c>
      <c r="F104" s="1" t="s">
        <v>219</v>
      </c>
      <c r="G104" s="1"/>
      <c r="H104" s="1"/>
      <c r="I104" s="1"/>
      <c r="J104" s="74"/>
      <c r="K104" s="74"/>
      <c r="L104" s="74"/>
    </row>
    <row r="105" spans="3:12" x14ac:dyDescent="0.2">
      <c r="C105" s="27"/>
      <c r="D105" s="1" t="s">
        <v>544</v>
      </c>
      <c r="E105" s="1" t="s">
        <v>521</v>
      </c>
      <c r="F105" s="1" t="s">
        <v>219</v>
      </c>
      <c r="G105" s="1">
        <v>9.9</v>
      </c>
      <c r="H105" s="1"/>
      <c r="I105" s="1"/>
      <c r="J105" s="74"/>
      <c r="K105" s="74"/>
      <c r="L105" s="74"/>
    </row>
    <row r="106" spans="3:12" x14ac:dyDescent="0.2">
      <c r="C106" s="27"/>
      <c r="D106" s="1" t="s">
        <v>521</v>
      </c>
      <c r="E106" s="1" t="s">
        <v>520</v>
      </c>
      <c r="F106" s="1" t="s">
        <v>219</v>
      </c>
      <c r="G106" s="1">
        <v>13.9</v>
      </c>
      <c r="H106" s="1"/>
      <c r="I106" s="1"/>
      <c r="J106" s="74"/>
      <c r="K106" s="74"/>
      <c r="L106" s="74"/>
    </row>
    <row r="107" spans="3:12" x14ac:dyDescent="0.2">
      <c r="C107" s="27"/>
      <c r="D107" s="1" t="s">
        <v>520</v>
      </c>
      <c r="E107" s="1" t="s">
        <v>519</v>
      </c>
      <c r="F107" s="1" t="s">
        <v>219</v>
      </c>
      <c r="G107" s="1">
        <v>9.6999999999999993</v>
      </c>
      <c r="H107" s="1"/>
      <c r="I107" s="1"/>
      <c r="J107" s="74"/>
      <c r="K107" s="74"/>
      <c r="L107" s="74"/>
    </row>
    <row r="108" spans="3:12" x14ac:dyDescent="0.2">
      <c r="C108" s="27"/>
      <c r="D108" s="1" t="s">
        <v>519</v>
      </c>
      <c r="E108" s="1" t="s">
        <v>541</v>
      </c>
      <c r="F108" s="1"/>
      <c r="G108" s="1"/>
      <c r="H108" s="1"/>
      <c r="I108" s="1"/>
      <c r="J108" s="74"/>
      <c r="K108" s="74"/>
      <c r="L108" s="74"/>
    </row>
    <row r="109" spans="3:12" x14ac:dyDescent="0.2">
      <c r="C109" s="27"/>
      <c r="D109" s="1" t="s">
        <v>541</v>
      </c>
      <c r="E109" s="1" t="s">
        <v>735</v>
      </c>
      <c r="F109" s="1"/>
      <c r="G109" s="1"/>
      <c r="H109" s="1"/>
      <c r="I109" s="1"/>
      <c r="J109" s="74"/>
      <c r="K109" s="74"/>
      <c r="L109" s="74"/>
    </row>
    <row r="110" spans="3:12" x14ac:dyDescent="0.2">
      <c r="C110" s="27"/>
      <c r="D110" s="1" t="s">
        <v>735</v>
      </c>
      <c r="E110" s="1" t="s">
        <v>519</v>
      </c>
      <c r="F110" s="1"/>
      <c r="G110" s="1"/>
      <c r="H110" s="1"/>
      <c r="I110" s="1"/>
      <c r="J110" s="74"/>
      <c r="K110" s="74"/>
      <c r="L110" s="74"/>
    </row>
    <row r="111" spans="3:12" x14ac:dyDescent="0.2">
      <c r="C111" s="27"/>
      <c r="D111" s="1" t="s">
        <v>519</v>
      </c>
      <c r="E111" s="1" t="s">
        <v>539</v>
      </c>
      <c r="F111" s="1"/>
      <c r="G111" s="1"/>
      <c r="H111" s="1"/>
      <c r="I111" s="1"/>
      <c r="J111" s="74"/>
      <c r="K111" s="74"/>
      <c r="L111" s="74"/>
    </row>
    <row r="112" spans="3:12" x14ac:dyDescent="0.2">
      <c r="C112" s="1"/>
      <c r="D112" s="1" t="s">
        <v>539</v>
      </c>
      <c r="E112" s="1" t="s">
        <v>519</v>
      </c>
      <c r="F112" s="1"/>
      <c r="G112" s="1"/>
      <c r="H112" s="1"/>
      <c r="I112" s="1"/>
      <c r="J112" s="74"/>
      <c r="K112" s="74"/>
      <c r="L112" s="74"/>
    </row>
    <row r="113" spans="3:12" x14ac:dyDescent="0.2">
      <c r="C113" s="1"/>
      <c r="D113" s="1" t="s">
        <v>519</v>
      </c>
      <c r="E113" s="1" t="s">
        <v>547</v>
      </c>
      <c r="F113" s="1"/>
      <c r="G113" s="1"/>
      <c r="H113" s="1"/>
      <c r="I113" s="1"/>
      <c r="J113" s="74"/>
      <c r="K113" s="74"/>
      <c r="L113" s="74"/>
    </row>
    <row r="114" spans="3:12" x14ac:dyDescent="0.2">
      <c r="C114" s="1"/>
      <c r="D114" s="1"/>
      <c r="E114" s="1"/>
      <c r="F114" s="1"/>
      <c r="G114" s="1"/>
      <c r="H114" s="1"/>
      <c r="I114" s="1"/>
      <c r="J114" s="74"/>
      <c r="K114" s="74"/>
      <c r="L114" s="74"/>
    </row>
    <row r="115" spans="3:12" x14ac:dyDescent="0.2">
      <c r="C115" s="1"/>
      <c r="D115" s="1"/>
      <c r="E115" s="1"/>
      <c r="F115" s="1"/>
      <c r="G115" s="1"/>
      <c r="H115" s="1"/>
      <c r="I115" s="1"/>
      <c r="J115" s="74"/>
      <c r="K115" s="74"/>
      <c r="L115" s="74"/>
    </row>
    <row r="116" spans="3:12" x14ac:dyDescent="0.2">
      <c r="C116" s="1"/>
      <c r="D116" s="1"/>
      <c r="E116" s="1"/>
      <c r="F116" s="1"/>
      <c r="G116" s="1"/>
      <c r="H116" s="1"/>
      <c r="I116" s="1"/>
      <c r="J116" s="74"/>
      <c r="K116" s="74"/>
      <c r="L116" s="74"/>
    </row>
    <row r="117" spans="3:12" x14ac:dyDescent="0.2">
      <c r="C117" s="1"/>
      <c r="D117" s="1" t="s">
        <v>547</v>
      </c>
      <c r="E117" s="1" t="s">
        <v>518</v>
      </c>
      <c r="F117" s="1"/>
      <c r="G117" s="1"/>
      <c r="H117" s="1"/>
      <c r="I117" s="1"/>
      <c r="J117" s="74"/>
      <c r="K117" s="74"/>
      <c r="L117" s="74"/>
    </row>
    <row r="118" spans="3:12" x14ac:dyDescent="0.2">
      <c r="C118" s="1"/>
      <c r="D118" s="1"/>
      <c r="E118" s="1"/>
      <c r="F118" s="1"/>
      <c r="G118" s="1"/>
      <c r="H118" s="1"/>
      <c r="I118" s="1"/>
      <c r="J118" s="74"/>
      <c r="K118" s="74"/>
      <c r="L118" s="74"/>
    </row>
    <row r="119" spans="3:12" ht="19" x14ac:dyDescent="0.25">
      <c r="C119" s="13"/>
      <c r="D119" s="3"/>
      <c r="E119" s="1"/>
      <c r="F119" s="3"/>
      <c r="G119" s="4">
        <f>SUM(G99:G117)</f>
        <v>56.099999999999994</v>
      </c>
      <c r="H119" s="5">
        <f>SUM(H99:H117)</f>
        <v>0</v>
      </c>
      <c r="I119" s="3"/>
      <c r="J119" s="75"/>
      <c r="K119" s="75"/>
      <c r="L119" s="75"/>
    </row>
    <row r="120" spans="3:12" x14ac:dyDescent="0.2">
      <c r="D120" s="38"/>
      <c r="E120" s="38"/>
      <c r="F120" s="38"/>
      <c r="G120" s="38"/>
      <c r="H120" s="38"/>
      <c r="I120" s="38"/>
      <c r="J120" s="38"/>
      <c r="K120" s="38"/>
      <c r="L120" s="38"/>
    </row>
  </sheetData>
  <mergeCells count="212">
    <mergeCell ref="J84:L84"/>
    <mergeCell ref="J87:L87"/>
    <mergeCell ref="J71:L71"/>
    <mergeCell ref="J72:L72"/>
    <mergeCell ref="J73:L73"/>
    <mergeCell ref="J60:L60"/>
    <mergeCell ref="J61:L61"/>
    <mergeCell ref="J62:L62"/>
    <mergeCell ref="J63:L63"/>
    <mergeCell ref="J64:L64"/>
    <mergeCell ref="J65:L65"/>
    <mergeCell ref="J66:L66"/>
    <mergeCell ref="J67:L67"/>
    <mergeCell ref="J56:L56"/>
    <mergeCell ref="J57:L57"/>
    <mergeCell ref="J58:L58"/>
    <mergeCell ref="J59:L59"/>
    <mergeCell ref="J68:L68"/>
    <mergeCell ref="J69:L69"/>
    <mergeCell ref="J70:L70"/>
    <mergeCell ref="D83:E83"/>
    <mergeCell ref="D78:E78"/>
    <mergeCell ref="D79:E79"/>
    <mergeCell ref="D80:E80"/>
    <mergeCell ref="J78:L78"/>
    <mergeCell ref="J74:L74"/>
    <mergeCell ref="J75:L75"/>
    <mergeCell ref="J76:L76"/>
    <mergeCell ref="J77:L77"/>
    <mergeCell ref="J79:L79"/>
    <mergeCell ref="J80:L80"/>
    <mergeCell ref="J81:L81"/>
    <mergeCell ref="J82:L82"/>
    <mergeCell ref="J83:L83"/>
    <mergeCell ref="J98:L98"/>
    <mergeCell ref="J99:L99"/>
    <mergeCell ref="J100:L100"/>
    <mergeCell ref="J101:L101"/>
    <mergeCell ref="J102:L102"/>
    <mergeCell ref="J103:L103"/>
    <mergeCell ref="D67:E67"/>
    <mergeCell ref="D64:E64"/>
    <mergeCell ref="D65:E65"/>
    <mergeCell ref="D66:E66"/>
    <mergeCell ref="D76:E76"/>
    <mergeCell ref="D77:E77"/>
    <mergeCell ref="D87:E87"/>
    <mergeCell ref="D68:E68"/>
    <mergeCell ref="D69:E69"/>
    <mergeCell ref="D70:E70"/>
    <mergeCell ref="D71:E71"/>
    <mergeCell ref="D72:E72"/>
    <mergeCell ref="D73:E73"/>
    <mergeCell ref="D74:E74"/>
    <mergeCell ref="D75:E75"/>
    <mergeCell ref="D84:E84"/>
    <mergeCell ref="D85:E85"/>
    <mergeCell ref="D86:E86"/>
    <mergeCell ref="J117:L117"/>
    <mergeCell ref="J118:L118"/>
    <mergeCell ref="J119:L119"/>
    <mergeCell ref="J104:L104"/>
    <mergeCell ref="J105:L105"/>
    <mergeCell ref="J106:L106"/>
    <mergeCell ref="J114:L114"/>
    <mergeCell ref="J115:L115"/>
    <mergeCell ref="J116:L116"/>
    <mergeCell ref="J107:L107"/>
    <mergeCell ref="J108:L108"/>
    <mergeCell ref="J109:L109"/>
    <mergeCell ref="J110:L110"/>
    <mergeCell ref="J111:L111"/>
    <mergeCell ref="J112:L112"/>
    <mergeCell ref="J113:L113"/>
    <mergeCell ref="D93:E93"/>
    <mergeCell ref="J93:L93"/>
    <mergeCell ref="D94:E94"/>
    <mergeCell ref="J94:L94"/>
    <mergeCell ref="C95:L96"/>
    <mergeCell ref="C97:L97"/>
    <mergeCell ref="D90:E90"/>
    <mergeCell ref="J90:L90"/>
    <mergeCell ref="D91:E91"/>
    <mergeCell ref="J91:L91"/>
    <mergeCell ref="D92:E92"/>
    <mergeCell ref="J92:L92"/>
    <mergeCell ref="D88:E88"/>
    <mergeCell ref="J88:L88"/>
    <mergeCell ref="D89:E89"/>
    <mergeCell ref="J89:L89"/>
    <mergeCell ref="D52:E52"/>
    <mergeCell ref="J52:L52"/>
    <mergeCell ref="D53:E53"/>
    <mergeCell ref="J53:L53"/>
    <mergeCell ref="J86:L86"/>
    <mergeCell ref="D54:E54"/>
    <mergeCell ref="D55:E55"/>
    <mergeCell ref="D56:E56"/>
    <mergeCell ref="D57:E57"/>
    <mergeCell ref="D61:E61"/>
    <mergeCell ref="D62:E62"/>
    <mergeCell ref="D63:E63"/>
    <mergeCell ref="D58:E58"/>
    <mergeCell ref="D59:E59"/>
    <mergeCell ref="D60:E60"/>
    <mergeCell ref="J54:L54"/>
    <mergeCell ref="J55:L55"/>
    <mergeCell ref="J85:L85"/>
    <mergeCell ref="D81:E81"/>
    <mergeCell ref="D82:E82"/>
    <mergeCell ref="D49:E49"/>
    <mergeCell ref="J49:L49"/>
    <mergeCell ref="D50:E50"/>
    <mergeCell ref="J50:L50"/>
    <mergeCell ref="D51:E51"/>
    <mergeCell ref="J51:L51"/>
    <mergeCell ref="D46:E46"/>
    <mergeCell ref="J46:L46"/>
    <mergeCell ref="D47:E47"/>
    <mergeCell ref="J47:L47"/>
    <mergeCell ref="D48:E48"/>
    <mergeCell ref="J48:L48"/>
    <mergeCell ref="D43:E43"/>
    <mergeCell ref="J43:L43"/>
    <mergeCell ref="D44:E44"/>
    <mergeCell ref="J44:L44"/>
    <mergeCell ref="D45:E45"/>
    <mergeCell ref="J45:L45"/>
    <mergeCell ref="D40:E40"/>
    <mergeCell ref="J40:L40"/>
    <mergeCell ref="D41:E41"/>
    <mergeCell ref="J41:L41"/>
    <mergeCell ref="D42:E42"/>
    <mergeCell ref="J42:L42"/>
    <mergeCell ref="D38:E38"/>
    <mergeCell ref="J38:L38"/>
    <mergeCell ref="D39:E39"/>
    <mergeCell ref="J39:L39"/>
    <mergeCell ref="D34:E34"/>
    <mergeCell ref="J34:L34"/>
    <mergeCell ref="Q28:R28"/>
    <mergeCell ref="D35:E35"/>
    <mergeCell ref="J35:L35"/>
    <mergeCell ref="N29:R30"/>
    <mergeCell ref="D36:E36"/>
    <mergeCell ref="J36:L36"/>
    <mergeCell ref="D32:E32"/>
    <mergeCell ref="J32:L32"/>
    <mergeCell ref="N36:Q36"/>
    <mergeCell ref="D37:E37"/>
    <mergeCell ref="J37:L37"/>
    <mergeCell ref="D33:E33"/>
    <mergeCell ref="J33:L33"/>
    <mergeCell ref="D30:E30"/>
    <mergeCell ref="J30:L30"/>
    <mergeCell ref="N24:R24"/>
    <mergeCell ref="D31:E31"/>
    <mergeCell ref="J31:L31"/>
    <mergeCell ref="Q25:R25"/>
    <mergeCell ref="D27:E27"/>
    <mergeCell ref="J27:L27"/>
    <mergeCell ref="N31:R31"/>
    <mergeCell ref="D28:E28"/>
    <mergeCell ref="J28:L28"/>
    <mergeCell ref="D29:E29"/>
    <mergeCell ref="J29:L29"/>
    <mergeCell ref="D25:E25"/>
    <mergeCell ref="J25:L25"/>
    <mergeCell ref="Q19:R19"/>
    <mergeCell ref="D26:E26"/>
    <mergeCell ref="J26:L26"/>
    <mergeCell ref="Q20:R20"/>
    <mergeCell ref="D23:E23"/>
    <mergeCell ref="J23:L23"/>
    <mergeCell ref="Q26:R26"/>
    <mergeCell ref="D24:E24"/>
    <mergeCell ref="J24:L24"/>
    <mergeCell ref="Q27:R27"/>
    <mergeCell ref="D21:E21"/>
    <mergeCell ref="J21:L21"/>
    <mergeCell ref="Q15:R15"/>
    <mergeCell ref="D22:E22"/>
    <mergeCell ref="J22:L22"/>
    <mergeCell ref="Q16:R16"/>
    <mergeCell ref="D19:E19"/>
    <mergeCell ref="J19:L19"/>
    <mergeCell ref="Q21:R21"/>
    <mergeCell ref="N22:R23"/>
    <mergeCell ref="Q13:R13"/>
    <mergeCell ref="D20:E20"/>
    <mergeCell ref="J20:L20"/>
    <mergeCell ref="Q14:R14"/>
    <mergeCell ref="I13:K13"/>
    <mergeCell ref="I14:K14"/>
    <mergeCell ref="I15:K15"/>
    <mergeCell ref="C16:L17"/>
    <mergeCell ref="C18:L18"/>
    <mergeCell ref="Q17:R17"/>
    <mergeCell ref="Q18:R18"/>
    <mergeCell ref="N12:R12"/>
    <mergeCell ref="B2:L2"/>
    <mergeCell ref="N2:P2"/>
    <mergeCell ref="I3:K3"/>
    <mergeCell ref="I4:K4"/>
    <mergeCell ref="I11:K11"/>
    <mergeCell ref="I12:K12"/>
    <mergeCell ref="I5:K5"/>
    <mergeCell ref="I6:K6"/>
    <mergeCell ref="I7:K7"/>
    <mergeCell ref="I8:K8"/>
    <mergeCell ref="I9:K9"/>
    <mergeCell ref="I10:K10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57CAD-8931-F649-82F6-4EA4E79B60A4}">
  <dimension ref="B2:R63"/>
  <sheetViews>
    <sheetView topLeftCell="A24" zoomScale="110" zoomScaleNormal="110" workbookViewId="0">
      <selection activeCell="J58" sqref="J58:L58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230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112</v>
      </c>
    </row>
    <row r="4" spans="2:18" ht="19" x14ac:dyDescent="0.25">
      <c r="B4" s="59">
        <v>46164</v>
      </c>
      <c r="C4" s="60">
        <v>46168</v>
      </c>
      <c r="D4" s="61" t="s">
        <v>556</v>
      </c>
      <c r="E4" s="61" t="s">
        <v>561</v>
      </c>
      <c r="F4" s="61">
        <v>84</v>
      </c>
      <c r="G4" s="61"/>
      <c r="H4" s="62">
        <v>21</v>
      </c>
      <c r="I4" s="154"/>
      <c r="J4" s="155"/>
      <c r="K4" s="156"/>
      <c r="L4" s="61">
        <v>4</v>
      </c>
      <c r="N4" s="3"/>
      <c r="O4" s="3"/>
      <c r="P4" s="3"/>
    </row>
    <row r="5" spans="2:18" ht="19" x14ac:dyDescent="0.25">
      <c r="B5" s="63">
        <v>46168</v>
      </c>
      <c r="C5" s="64">
        <v>46170</v>
      </c>
      <c r="D5" s="65" t="s">
        <v>557</v>
      </c>
      <c r="E5" s="65" t="s">
        <v>562</v>
      </c>
      <c r="F5" s="65">
        <v>62</v>
      </c>
      <c r="G5" s="65"/>
      <c r="H5" s="66">
        <v>31</v>
      </c>
      <c r="I5" s="154"/>
      <c r="J5" s="155"/>
      <c r="K5" s="156"/>
      <c r="L5" s="65">
        <v>2</v>
      </c>
      <c r="N5" s="3"/>
      <c r="O5" s="3"/>
      <c r="P5" s="3"/>
    </row>
    <row r="6" spans="2:18" ht="19" x14ac:dyDescent="0.25">
      <c r="B6" s="63">
        <v>46170</v>
      </c>
      <c r="C6" s="64">
        <v>46177</v>
      </c>
      <c r="D6" s="65" t="s">
        <v>558</v>
      </c>
      <c r="E6" s="65" t="s">
        <v>563</v>
      </c>
      <c r="F6" s="65">
        <v>130</v>
      </c>
      <c r="G6" s="65"/>
      <c r="H6" s="66">
        <v>18.57</v>
      </c>
      <c r="I6" s="154"/>
      <c r="J6" s="155"/>
      <c r="K6" s="156"/>
      <c r="L6" s="65">
        <v>7</v>
      </c>
      <c r="N6" s="3"/>
      <c r="O6" s="3"/>
      <c r="P6" s="3"/>
    </row>
    <row r="7" spans="2:18" ht="19" x14ac:dyDescent="0.25">
      <c r="B7" s="63"/>
      <c r="C7" s="64"/>
      <c r="D7" s="65"/>
      <c r="E7" s="65"/>
      <c r="F7" s="65"/>
      <c r="G7" s="65"/>
      <c r="H7" s="66"/>
      <c r="I7" s="145"/>
      <c r="J7" s="146"/>
      <c r="K7" s="147"/>
      <c r="L7" s="65"/>
      <c r="N7" s="3"/>
      <c r="O7" s="3"/>
      <c r="P7" s="1"/>
    </row>
    <row r="8" spans="2:18" ht="19" x14ac:dyDescent="0.25">
      <c r="B8" s="13"/>
      <c r="C8" s="13"/>
      <c r="D8" s="3"/>
      <c r="E8" s="3"/>
      <c r="F8" s="3"/>
      <c r="G8" s="3"/>
      <c r="H8" s="50"/>
      <c r="I8" s="113"/>
      <c r="J8" s="114"/>
      <c r="K8" s="115"/>
      <c r="L8" s="3"/>
      <c r="N8" s="3"/>
      <c r="O8" s="3"/>
      <c r="P8" s="1"/>
    </row>
    <row r="9" spans="2:18" ht="19" x14ac:dyDescent="0.25">
      <c r="B9" s="2"/>
      <c r="C9" s="2"/>
      <c r="D9" s="3"/>
      <c r="E9" s="3"/>
      <c r="F9" s="3">
        <f>SUM(F4:F7)</f>
        <v>276</v>
      </c>
      <c r="G9" s="5">
        <f>SUM(G4:G7)</f>
        <v>0</v>
      </c>
      <c r="H9" s="50">
        <f>F9/L9</f>
        <v>21.23076923076923</v>
      </c>
      <c r="I9" s="95"/>
      <c r="J9" s="95"/>
      <c r="K9" s="95"/>
      <c r="L9" s="3">
        <f>SUM(L4:L7)</f>
        <v>13</v>
      </c>
      <c r="N9" s="1"/>
      <c r="O9" s="5">
        <f>SUM(O4:O8)</f>
        <v>0</v>
      </c>
      <c r="P9" s="1"/>
    </row>
    <row r="10" spans="2:18" x14ac:dyDescent="0.2">
      <c r="B10" s="38"/>
      <c r="C10" s="89"/>
      <c r="D10" s="89"/>
      <c r="E10" s="89"/>
      <c r="F10" s="89"/>
      <c r="G10" s="89"/>
      <c r="H10" s="89"/>
      <c r="I10" s="89"/>
      <c r="J10" s="89"/>
      <c r="K10" s="89"/>
      <c r="L10" s="89"/>
    </row>
    <row r="11" spans="2:18" x14ac:dyDescent="0.2">
      <c r="C11" s="90"/>
      <c r="D11" s="90"/>
      <c r="E11" s="90"/>
      <c r="F11" s="90"/>
      <c r="G11" s="90"/>
      <c r="H11" s="90"/>
      <c r="I11" s="90"/>
      <c r="J11" s="90"/>
      <c r="K11" s="90"/>
      <c r="L11" s="90"/>
    </row>
    <row r="12" spans="2:18" ht="19" x14ac:dyDescent="0.25">
      <c r="C12" s="96" t="s">
        <v>68</v>
      </c>
      <c r="D12" s="96"/>
      <c r="E12" s="96"/>
      <c r="F12" s="96"/>
      <c r="G12" s="96"/>
      <c r="H12" s="96"/>
      <c r="I12" s="96"/>
      <c r="J12" s="96"/>
      <c r="K12" s="96"/>
      <c r="L12" s="96"/>
      <c r="N12" s="81" t="s">
        <v>69</v>
      </c>
      <c r="O12" s="82"/>
      <c r="P12" s="82"/>
      <c r="Q12" s="82"/>
      <c r="R12" s="83"/>
    </row>
    <row r="13" spans="2:18" ht="19" x14ac:dyDescent="0.25">
      <c r="C13" s="12" t="s">
        <v>20</v>
      </c>
      <c r="D13" s="98" t="s">
        <v>2</v>
      </c>
      <c r="E13" s="98"/>
      <c r="F13" s="12" t="s">
        <v>21</v>
      </c>
      <c r="G13" s="12" t="s">
        <v>230</v>
      </c>
      <c r="H13" s="12" t="s">
        <v>53</v>
      </c>
      <c r="I13" s="6" t="s">
        <v>853</v>
      </c>
      <c r="J13" s="88" t="s">
        <v>7</v>
      </c>
      <c r="K13" s="88"/>
      <c r="L13" s="78"/>
      <c r="N13" s="6" t="s">
        <v>45</v>
      </c>
      <c r="O13" s="6" t="s">
        <v>359</v>
      </c>
      <c r="P13" s="6" t="s">
        <v>53</v>
      </c>
      <c r="Q13" s="77" t="s">
        <v>7</v>
      </c>
      <c r="R13" s="78"/>
    </row>
    <row r="14" spans="2:18" ht="19" x14ac:dyDescent="0.25">
      <c r="C14" s="55"/>
      <c r="D14" s="74" t="s">
        <v>576</v>
      </c>
      <c r="E14" s="74"/>
      <c r="F14" s="1" t="s">
        <v>556</v>
      </c>
      <c r="G14" s="1">
        <v>3</v>
      </c>
      <c r="H14" s="1"/>
      <c r="I14" s="1"/>
      <c r="J14" s="74"/>
      <c r="K14" s="74"/>
      <c r="L14" s="74"/>
      <c r="N14" s="3" t="s">
        <v>567</v>
      </c>
      <c r="O14" s="3">
        <v>63</v>
      </c>
      <c r="P14" s="3"/>
      <c r="Q14" s="84"/>
      <c r="R14" s="85"/>
    </row>
    <row r="15" spans="2:18" ht="19" x14ac:dyDescent="0.25">
      <c r="C15" s="55"/>
      <c r="D15" s="74" t="s">
        <v>577</v>
      </c>
      <c r="E15" s="74"/>
      <c r="F15" s="1" t="s">
        <v>556</v>
      </c>
      <c r="G15" s="1">
        <v>0</v>
      </c>
      <c r="H15" s="1"/>
      <c r="I15" s="1">
        <v>10</v>
      </c>
      <c r="J15" s="74" t="s">
        <v>629</v>
      </c>
      <c r="K15" s="74"/>
      <c r="L15" s="74"/>
      <c r="N15" s="3" t="s">
        <v>629</v>
      </c>
      <c r="O15" s="3">
        <v>38</v>
      </c>
      <c r="P15" s="3"/>
      <c r="Q15" s="84"/>
      <c r="R15" s="85"/>
    </row>
    <row r="16" spans="2:18" ht="19" x14ac:dyDescent="0.25">
      <c r="C16" s="56"/>
      <c r="D16" s="74" t="s">
        <v>578</v>
      </c>
      <c r="E16" s="74"/>
      <c r="F16" s="1" t="s">
        <v>556</v>
      </c>
      <c r="G16" s="1">
        <v>7</v>
      </c>
      <c r="H16" s="57"/>
      <c r="I16" s="1">
        <v>7</v>
      </c>
      <c r="J16" s="74" t="s">
        <v>629</v>
      </c>
      <c r="K16" s="74"/>
      <c r="L16" s="74"/>
      <c r="N16" s="3" t="s">
        <v>569</v>
      </c>
      <c r="O16" s="3">
        <v>69</v>
      </c>
      <c r="P16" s="3"/>
      <c r="Q16" s="84"/>
      <c r="R16" s="85"/>
    </row>
    <row r="17" spans="3:18" ht="19" x14ac:dyDescent="0.25">
      <c r="C17" s="56"/>
      <c r="D17" s="74" t="s">
        <v>630</v>
      </c>
      <c r="E17" s="74"/>
      <c r="F17" s="1" t="s">
        <v>556</v>
      </c>
      <c r="G17" s="1">
        <v>5</v>
      </c>
      <c r="H17" s="57"/>
      <c r="I17" s="1">
        <v>7.5</v>
      </c>
      <c r="J17" s="74" t="s">
        <v>629</v>
      </c>
      <c r="K17" s="74"/>
      <c r="L17" s="74"/>
      <c r="N17" s="3" t="s">
        <v>442</v>
      </c>
      <c r="O17" s="3"/>
      <c r="P17" s="3"/>
      <c r="Q17" s="84"/>
      <c r="R17" s="85"/>
    </row>
    <row r="18" spans="3:18" ht="19" x14ac:dyDescent="0.25">
      <c r="C18" s="56"/>
      <c r="D18" s="74" t="s">
        <v>579</v>
      </c>
      <c r="E18" s="74"/>
      <c r="F18" s="1" t="s">
        <v>556</v>
      </c>
      <c r="G18" s="1">
        <v>11</v>
      </c>
      <c r="H18" s="57"/>
      <c r="I18" s="1"/>
      <c r="J18" s="74"/>
      <c r="K18" s="74"/>
      <c r="L18" s="74"/>
      <c r="N18" s="3"/>
      <c r="O18" s="3"/>
      <c r="P18" s="3"/>
      <c r="Q18" s="84"/>
      <c r="R18" s="85"/>
    </row>
    <row r="19" spans="3:18" ht="19" x14ac:dyDescent="0.25">
      <c r="C19" s="56"/>
      <c r="D19" s="74" t="s">
        <v>580</v>
      </c>
      <c r="E19" s="74"/>
      <c r="F19" s="1" t="s">
        <v>556</v>
      </c>
      <c r="G19" s="1">
        <v>0</v>
      </c>
      <c r="H19" s="57"/>
      <c r="I19" s="1">
        <v>7.5</v>
      </c>
      <c r="J19" s="74" t="s">
        <v>629</v>
      </c>
      <c r="K19" s="74"/>
      <c r="L19" s="74"/>
      <c r="N19" s="3"/>
      <c r="O19" s="3"/>
      <c r="P19" s="3"/>
      <c r="Q19" s="84"/>
      <c r="R19" s="85"/>
    </row>
    <row r="20" spans="3:18" ht="19" x14ac:dyDescent="0.25">
      <c r="C20" s="56"/>
      <c r="D20" s="74" t="s">
        <v>581</v>
      </c>
      <c r="E20" s="74"/>
      <c r="F20" s="1" t="s">
        <v>556</v>
      </c>
      <c r="G20" s="1">
        <v>0</v>
      </c>
      <c r="H20" s="57"/>
      <c r="I20" s="1">
        <v>10</v>
      </c>
      <c r="J20" s="74" t="s">
        <v>629</v>
      </c>
      <c r="K20" s="74"/>
      <c r="L20" s="74"/>
      <c r="N20" s="3"/>
      <c r="O20" s="4"/>
      <c r="P20" s="4"/>
      <c r="Q20" s="84"/>
      <c r="R20" s="85"/>
    </row>
    <row r="21" spans="3:18" ht="19" x14ac:dyDescent="0.25">
      <c r="C21" s="56"/>
      <c r="D21" s="74" t="s">
        <v>582</v>
      </c>
      <c r="E21" s="74"/>
      <c r="F21" s="1" t="s">
        <v>583</v>
      </c>
      <c r="G21" s="1">
        <v>8</v>
      </c>
      <c r="H21" s="57"/>
      <c r="I21" s="1"/>
      <c r="J21" s="74"/>
      <c r="K21" s="74"/>
      <c r="L21" s="74"/>
      <c r="N21" s="3"/>
      <c r="O21" s="15">
        <f>SUM(O14:O20)</f>
        <v>170</v>
      </c>
      <c r="P21" s="5">
        <f>SUM(P14:P18)</f>
        <v>0</v>
      </c>
      <c r="Q21" s="86"/>
      <c r="R21" s="87"/>
    </row>
    <row r="22" spans="3:18" x14ac:dyDescent="0.2">
      <c r="C22" s="56"/>
      <c r="D22" s="74" t="s">
        <v>584</v>
      </c>
      <c r="E22" s="74"/>
      <c r="F22" s="1" t="s">
        <v>583</v>
      </c>
      <c r="G22" s="1">
        <v>7</v>
      </c>
      <c r="H22" s="57"/>
      <c r="I22" s="1"/>
      <c r="J22" s="74"/>
      <c r="K22" s="74"/>
      <c r="L22" s="74"/>
      <c r="N22" s="89"/>
      <c r="O22" s="89"/>
      <c r="P22" s="89"/>
      <c r="Q22" s="89"/>
      <c r="R22" s="89"/>
    </row>
    <row r="23" spans="3:18" x14ac:dyDescent="0.2">
      <c r="C23" s="56"/>
      <c r="D23" s="74" t="s">
        <v>585</v>
      </c>
      <c r="E23" s="74"/>
      <c r="F23" s="1" t="s">
        <v>557</v>
      </c>
      <c r="G23" s="1">
        <v>20</v>
      </c>
      <c r="H23" s="57"/>
      <c r="I23" s="1"/>
      <c r="J23" s="74"/>
      <c r="K23" s="74"/>
      <c r="L23" s="74"/>
      <c r="N23" s="90"/>
      <c r="O23" s="90"/>
      <c r="P23" s="90"/>
      <c r="Q23" s="90"/>
      <c r="R23" s="90"/>
    </row>
    <row r="24" spans="3:18" ht="19" x14ac:dyDescent="0.25">
      <c r="C24" s="56"/>
      <c r="D24" s="74" t="s">
        <v>586</v>
      </c>
      <c r="E24" s="74"/>
      <c r="F24" s="1" t="s">
        <v>557</v>
      </c>
      <c r="G24" s="1">
        <v>10</v>
      </c>
      <c r="H24" s="57"/>
      <c r="I24" s="1"/>
      <c r="J24" s="74"/>
      <c r="K24" s="74"/>
      <c r="L24" s="74"/>
      <c r="N24" s="81" t="s">
        <v>38</v>
      </c>
      <c r="O24" s="82"/>
      <c r="P24" s="82"/>
      <c r="Q24" s="82"/>
      <c r="R24" s="82"/>
    </row>
    <row r="25" spans="3:18" ht="19" x14ac:dyDescent="0.25">
      <c r="C25" s="56"/>
      <c r="D25" s="74" t="s">
        <v>587</v>
      </c>
      <c r="E25" s="74"/>
      <c r="F25" s="1"/>
      <c r="G25" s="1">
        <v>11.5</v>
      </c>
      <c r="H25" s="57"/>
      <c r="I25" s="1"/>
      <c r="J25" s="74"/>
      <c r="K25" s="74"/>
      <c r="L25" s="74"/>
      <c r="N25" s="6" t="s">
        <v>20</v>
      </c>
      <c r="O25" s="6" t="s">
        <v>32</v>
      </c>
      <c r="P25" s="6" t="s">
        <v>4</v>
      </c>
      <c r="Q25" s="77" t="s">
        <v>7</v>
      </c>
      <c r="R25" s="88"/>
    </row>
    <row r="26" spans="3:18" ht="19" x14ac:dyDescent="0.25">
      <c r="C26" s="56"/>
      <c r="D26" s="74" t="s">
        <v>588</v>
      </c>
      <c r="E26" s="74"/>
      <c r="F26" s="1"/>
      <c r="G26" s="1">
        <v>7</v>
      </c>
      <c r="H26" s="57"/>
      <c r="I26" s="1"/>
      <c r="J26" s="74"/>
      <c r="K26" s="74"/>
      <c r="L26" s="74"/>
      <c r="N26" s="13"/>
      <c r="O26" s="3"/>
      <c r="P26" s="3"/>
      <c r="Q26" s="84"/>
      <c r="R26" s="85"/>
    </row>
    <row r="27" spans="3:18" ht="19" x14ac:dyDescent="0.25">
      <c r="C27" s="56"/>
      <c r="D27" s="74" t="s">
        <v>192</v>
      </c>
      <c r="E27" s="74"/>
      <c r="F27" s="1" t="s">
        <v>558</v>
      </c>
      <c r="G27" s="1">
        <v>5</v>
      </c>
      <c r="H27" s="57"/>
      <c r="I27" s="1"/>
      <c r="J27" s="74"/>
      <c r="K27" s="74"/>
      <c r="L27" s="74"/>
      <c r="N27" s="13"/>
      <c r="O27" s="3"/>
      <c r="P27" s="3"/>
      <c r="Q27" s="84"/>
      <c r="R27" s="85"/>
    </row>
    <row r="28" spans="3:18" ht="19" x14ac:dyDescent="0.25">
      <c r="C28" s="56"/>
      <c r="D28" s="74" t="s">
        <v>589</v>
      </c>
      <c r="E28" s="74"/>
      <c r="F28" s="1" t="s">
        <v>558</v>
      </c>
      <c r="G28" s="1">
        <v>0</v>
      </c>
      <c r="H28" s="57"/>
      <c r="I28" s="1">
        <v>7.5</v>
      </c>
      <c r="J28" s="74" t="s">
        <v>569</v>
      </c>
      <c r="K28" s="74"/>
      <c r="L28" s="74"/>
      <c r="N28" s="3"/>
      <c r="O28" s="3"/>
      <c r="P28" s="5">
        <f>P26+P27</f>
        <v>0</v>
      </c>
      <c r="Q28" s="84"/>
      <c r="R28" s="85"/>
    </row>
    <row r="29" spans="3:18" x14ac:dyDescent="0.2">
      <c r="C29" s="56"/>
      <c r="D29" s="74" t="s">
        <v>590</v>
      </c>
      <c r="E29" s="74"/>
      <c r="F29" s="1" t="s">
        <v>558</v>
      </c>
      <c r="G29" s="1">
        <v>0</v>
      </c>
      <c r="H29" s="57"/>
      <c r="I29" s="1">
        <v>10</v>
      </c>
      <c r="J29" s="74" t="s">
        <v>569</v>
      </c>
      <c r="K29" s="74"/>
      <c r="L29" s="74"/>
      <c r="N29" s="89"/>
      <c r="O29" s="89"/>
      <c r="P29" s="89"/>
      <c r="Q29" s="89"/>
      <c r="R29" s="89"/>
    </row>
    <row r="30" spans="3:18" x14ac:dyDescent="0.2">
      <c r="C30" s="56"/>
      <c r="D30" s="74" t="s">
        <v>568</v>
      </c>
      <c r="E30" s="74"/>
      <c r="F30" s="1" t="s">
        <v>570</v>
      </c>
      <c r="G30" s="1">
        <v>78</v>
      </c>
      <c r="H30" s="57"/>
      <c r="I30" s="1"/>
      <c r="J30" s="74"/>
      <c r="K30" s="74"/>
      <c r="L30" s="74"/>
      <c r="N30" s="90"/>
      <c r="O30" s="90"/>
      <c r="P30" s="90"/>
      <c r="Q30" s="90"/>
      <c r="R30" s="90"/>
    </row>
    <row r="31" spans="3:18" ht="19" x14ac:dyDescent="0.25">
      <c r="C31" s="55"/>
      <c r="D31" s="74" t="s">
        <v>591</v>
      </c>
      <c r="E31" s="74"/>
      <c r="F31" s="1" t="s">
        <v>558</v>
      </c>
      <c r="G31" s="1">
        <v>0</v>
      </c>
      <c r="H31" s="1"/>
      <c r="I31" s="1">
        <v>20</v>
      </c>
      <c r="J31" s="74" t="s">
        <v>569</v>
      </c>
      <c r="K31" s="74"/>
      <c r="L31" s="74"/>
      <c r="N31" s="81" t="s">
        <v>55</v>
      </c>
      <c r="O31" s="82"/>
      <c r="P31" s="82"/>
      <c r="Q31" s="82"/>
      <c r="R31" s="83"/>
    </row>
    <row r="32" spans="3:18" ht="19" x14ac:dyDescent="0.25">
      <c r="C32" s="55"/>
      <c r="D32" s="74" t="s">
        <v>592</v>
      </c>
      <c r="E32" s="74"/>
      <c r="F32" s="1" t="s">
        <v>558</v>
      </c>
      <c r="G32" s="1">
        <v>0</v>
      </c>
      <c r="H32" s="1"/>
      <c r="I32" s="1">
        <v>5.5</v>
      </c>
      <c r="J32" s="74" t="s">
        <v>569</v>
      </c>
      <c r="K32" s="74"/>
      <c r="L32" s="74"/>
      <c r="M32" s="37"/>
      <c r="N32" s="6" t="s">
        <v>90</v>
      </c>
      <c r="O32" s="6" t="s">
        <v>427</v>
      </c>
      <c r="P32" s="6" t="s">
        <v>56</v>
      </c>
      <c r="Q32" s="6" t="s">
        <v>37</v>
      </c>
      <c r="R32" s="6" t="s">
        <v>400</v>
      </c>
    </row>
    <row r="33" spans="3:18" ht="19" x14ac:dyDescent="0.25">
      <c r="C33" s="55"/>
      <c r="D33" s="74" t="s">
        <v>593</v>
      </c>
      <c r="E33" s="74"/>
      <c r="F33" s="1" t="s">
        <v>571</v>
      </c>
      <c r="G33" s="1">
        <v>8</v>
      </c>
      <c r="H33" s="1"/>
      <c r="I33" s="1"/>
      <c r="J33" s="74"/>
      <c r="K33" s="74"/>
      <c r="L33" s="74"/>
      <c r="N33" s="3"/>
      <c r="O33" s="3"/>
      <c r="P33" s="3"/>
      <c r="Q33" s="5"/>
      <c r="R33" s="5"/>
    </row>
    <row r="34" spans="3:18" x14ac:dyDescent="0.2">
      <c r="C34" s="55"/>
      <c r="D34" s="74" t="s">
        <v>634</v>
      </c>
      <c r="E34" s="74"/>
      <c r="F34" s="1" t="s">
        <v>558</v>
      </c>
      <c r="G34" s="1">
        <v>0</v>
      </c>
      <c r="H34" s="1"/>
      <c r="I34" s="1">
        <v>22</v>
      </c>
      <c r="J34" s="74" t="s">
        <v>569</v>
      </c>
      <c r="K34" s="74"/>
      <c r="L34" s="74"/>
    </row>
    <row r="35" spans="3:18" x14ac:dyDescent="0.2">
      <c r="C35" s="55"/>
      <c r="D35" s="74" t="s">
        <v>632</v>
      </c>
      <c r="E35" s="74"/>
      <c r="F35" s="1" t="s">
        <v>558</v>
      </c>
      <c r="G35" s="1">
        <v>0</v>
      </c>
      <c r="H35" s="1"/>
      <c r="I35" s="1">
        <v>7</v>
      </c>
      <c r="J35" s="74" t="s">
        <v>569</v>
      </c>
      <c r="K35" s="74"/>
      <c r="L35" s="74"/>
    </row>
    <row r="36" spans="3:18" ht="19" x14ac:dyDescent="0.25">
      <c r="C36" s="55"/>
      <c r="D36" s="74" t="s">
        <v>594</v>
      </c>
      <c r="E36" s="74"/>
      <c r="F36" s="1" t="s">
        <v>558</v>
      </c>
      <c r="G36" s="1">
        <v>0</v>
      </c>
      <c r="H36" s="1"/>
      <c r="I36" s="1">
        <v>16</v>
      </c>
      <c r="J36" s="74" t="s">
        <v>569</v>
      </c>
      <c r="K36" s="74"/>
      <c r="L36" s="74"/>
      <c r="N36" s="81" t="s">
        <v>57</v>
      </c>
      <c r="O36" s="82"/>
      <c r="P36" s="82"/>
      <c r="Q36" s="83"/>
    </row>
    <row r="37" spans="3:18" ht="19" x14ac:dyDescent="0.25">
      <c r="C37" s="55"/>
      <c r="D37" s="74" t="s">
        <v>595</v>
      </c>
      <c r="E37" s="74"/>
      <c r="F37" s="1" t="s">
        <v>558</v>
      </c>
      <c r="G37" s="1">
        <v>0</v>
      </c>
      <c r="H37" s="1"/>
      <c r="I37" s="1">
        <v>20</v>
      </c>
      <c r="J37" s="74" t="s">
        <v>569</v>
      </c>
      <c r="K37" s="74"/>
      <c r="L37" s="74"/>
      <c r="N37" s="6" t="s">
        <v>63</v>
      </c>
      <c r="O37" s="6" t="s">
        <v>53</v>
      </c>
      <c r="P37" s="6" t="s">
        <v>400</v>
      </c>
      <c r="Q37" s="6" t="s">
        <v>456</v>
      </c>
    </row>
    <row r="38" spans="3:18" ht="19" x14ac:dyDescent="0.25">
      <c r="C38" s="55"/>
      <c r="D38" s="74" t="s">
        <v>596</v>
      </c>
      <c r="E38" s="74"/>
      <c r="F38" s="1" t="s">
        <v>558</v>
      </c>
      <c r="G38" s="1">
        <v>21</v>
      </c>
      <c r="H38" s="1"/>
      <c r="I38" s="1"/>
      <c r="J38" s="74"/>
      <c r="K38" s="74"/>
      <c r="L38" s="74"/>
      <c r="N38" s="5">
        <f>(F9+O21+G47+G62)*R3+O9+P28</f>
        <v>74424</v>
      </c>
      <c r="O38" s="5">
        <f>G9+O9+P28+P21+H47+H62+R33</f>
        <v>0</v>
      </c>
      <c r="P38" s="5"/>
      <c r="Q38" s="5">
        <f>P38+O38</f>
        <v>0</v>
      </c>
    </row>
    <row r="39" spans="3:18" x14ac:dyDescent="0.2">
      <c r="C39" s="55"/>
      <c r="D39" s="74" t="s">
        <v>597</v>
      </c>
      <c r="E39" s="74"/>
      <c r="F39" s="1" t="s">
        <v>558</v>
      </c>
      <c r="G39" s="1">
        <v>0</v>
      </c>
      <c r="H39" s="1"/>
      <c r="I39" s="1">
        <v>9</v>
      </c>
      <c r="J39" s="74" t="s">
        <v>569</v>
      </c>
      <c r="K39" s="74"/>
      <c r="L39" s="74"/>
      <c r="N39" s="53"/>
    </row>
    <row r="40" spans="3:18" x14ac:dyDescent="0.2">
      <c r="C40" s="55"/>
      <c r="D40" s="74" t="s">
        <v>598</v>
      </c>
      <c r="E40" s="74"/>
      <c r="F40" s="1" t="s">
        <v>558</v>
      </c>
      <c r="G40" s="1">
        <v>17</v>
      </c>
      <c r="H40" s="1"/>
      <c r="I40" s="1"/>
      <c r="J40" s="74"/>
      <c r="K40" s="74"/>
      <c r="L40" s="74"/>
    </row>
    <row r="41" spans="3:18" x14ac:dyDescent="0.2">
      <c r="C41" s="55"/>
      <c r="D41" s="74" t="s">
        <v>599</v>
      </c>
      <c r="E41" s="74"/>
      <c r="F41" s="1" t="s">
        <v>558</v>
      </c>
      <c r="G41" s="1">
        <v>0</v>
      </c>
      <c r="H41" s="1"/>
      <c r="I41" s="1">
        <v>10</v>
      </c>
      <c r="J41" s="74" t="s">
        <v>569</v>
      </c>
      <c r="K41" s="74"/>
      <c r="L41" s="74"/>
    </row>
    <row r="42" spans="3:18" x14ac:dyDescent="0.2">
      <c r="C42" s="55"/>
      <c r="D42" s="74"/>
      <c r="E42" s="74"/>
      <c r="F42" s="1"/>
      <c r="G42" s="1"/>
      <c r="H42" s="1"/>
      <c r="I42" s="1"/>
      <c r="J42" s="74"/>
      <c r="K42" s="74"/>
      <c r="L42" s="74"/>
    </row>
    <row r="43" spans="3:18" x14ac:dyDescent="0.2">
      <c r="C43" s="56"/>
      <c r="D43" s="79"/>
      <c r="E43" s="80"/>
      <c r="F43" s="1"/>
      <c r="G43" s="1"/>
      <c r="H43" s="57"/>
      <c r="I43" s="1"/>
      <c r="J43" s="74"/>
      <c r="K43" s="74"/>
      <c r="L43" s="74"/>
    </row>
    <row r="44" spans="3:18" x14ac:dyDescent="0.2">
      <c r="C44" s="55"/>
      <c r="D44" s="79"/>
      <c r="E44" s="80"/>
      <c r="F44" s="1"/>
      <c r="G44" s="1"/>
      <c r="H44" s="1"/>
      <c r="I44" s="57"/>
      <c r="J44" s="74"/>
      <c r="K44" s="74"/>
      <c r="L44" s="74"/>
    </row>
    <row r="45" spans="3:18" x14ac:dyDescent="0.2">
      <c r="C45" s="56"/>
      <c r="D45" s="67"/>
      <c r="E45" s="68"/>
      <c r="F45" s="57"/>
      <c r="G45" s="57"/>
      <c r="H45" s="57"/>
      <c r="I45" s="57"/>
      <c r="J45" s="74"/>
      <c r="K45" s="74"/>
      <c r="L45" s="74"/>
    </row>
    <row r="46" spans="3:18" ht="19" x14ac:dyDescent="0.25">
      <c r="C46" s="1"/>
      <c r="D46" s="79"/>
      <c r="E46" s="80"/>
      <c r="F46" s="3"/>
      <c r="G46" s="4"/>
      <c r="H46" s="4"/>
      <c r="I46" s="3"/>
      <c r="J46" s="150"/>
      <c r="K46" s="99"/>
      <c r="L46" s="100"/>
    </row>
    <row r="47" spans="3:18" ht="19" x14ac:dyDescent="0.25">
      <c r="C47" s="1"/>
      <c r="D47" s="79"/>
      <c r="E47" s="80"/>
      <c r="F47" s="14"/>
      <c r="G47" s="4">
        <f>SUM(G14:G45)</f>
        <v>218.5</v>
      </c>
      <c r="H47" s="5">
        <f>SUM(H14:H45)</f>
        <v>0</v>
      </c>
      <c r="I47" s="3">
        <f>SUM(I14:I45)</f>
        <v>169</v>
      </c>
      <c r="J47" s="151"/>
      <c r="K47" s="101"/>
      <c r="L47" s="102"/>
    </row>
    <row r="48" spans="3:18" x14ac:dyDescent="0.2">
      <c r="C48" s="89"/>
      <c r="D48" s="89"/>
      <c r="E48" s="89"/>
      <c r="F48" s="89"/>
      <c r="G48" s="89"/>
      <c r="H48" s="89"/>
      <c r="I48" s="89"/>
      <c r="J48" s="89"/>
      <c r="K48" s="89"/>
      <c r="L48" s="89"/>
    </row>
    <row r="49" spans="3:12" x14ac:dyDescent="0.2">
      <c r="C49" s="90"/>
      <c r="D49" s="90"/>
      <c r="E49" s="90"/>
      <c r="F49" s="90"/>
      <c r="G49" s="90"/>
      <c r="H49" s="90"/>
      <c r="I49" s="90"/>
      <c r="J49" s="90"/>
      <c r="K49" s="90"/>
      <c r="L49" s="90"/>
    </row>
    <row r="50" spans="3:12" ht="19" x14ac:dyDescent="0.25">
      <c r="C50" s="81" t="s">
        <v>33</v>
      </c>
      <c r="D50" s="82"/>
      <c r="E50" s="82"/>
      <c r="F50" s="82"/>
      <c r="G50" s="82"/>
      <c r="H50" s="82"/>
      <c r="I50" s="82"/>
      <c r="J50" s="82"/>
      <c r="K50" s="82"/>
      <c r="L50" s="83"/>
    </row>
    <row r="51" spans="3:12" ht="19" x14ac:dyDescent="0.25">
      <c r="C51" s="6" t="s">
        <v>20</v>
      </c>
      <c r="D51" s="6" t="s">
        <v>65</v>
      </c>
      <c r="E51" s="6" t="s">
        <v>66</v>
      </c>
      <c r="F51" s="6" t="s">
        <v>196</v>
      </c>
      <c r="G51" s="6" t="s">
        <v>230</v>
      </c>
      <c r="H51" s="6" t="s">
        <v>53</v>
      </c>
      <c r="I51" s="6" t="s">
        <v>195</v>
      </c>
      <c r="J51" s="116" t="s">
        <v>7</v>
      </c>
      <c r="K51" s="117"/>
      <c r="L51" s="149"/>
    </row>
    <row r="52" spans="3:12" x14ac:dyDescent="0.2">
      <c r="C52" s="1"/>
      <c r="D52" s="1" t="s">
        <v>565</v>
      </c>
      <c r="E52" s="1" t="s">
        <v>556</v>
      </c>
      <c r="F52" s="1" t="s">
        <v>219</v>
      </c>
      <c r="G52" s="1"/>
      <c r="H52" s="1"/>
      <c r="I52" s="1"/>
      <c r="J52" s="74"/>
      <c r="K52" s="74"/>
      <c r="L52" s="74"/>
    </row>
    <row r="53" spans="3:12" x14ac:dyDescent="0.2">
      <c r="C53" s="1"/>
      <c r="D53" s="1" t="s">
        <v>556</v>
      </c>
      <c r="E53" s="1" t="s">
        <v>557</v>
      </c>
      <c r="F53" s="1"/>
      <c r="G53" s="1"/>
      <c r="H53" s="1"/>
      <c r="I53" s="1"/>
      <c r="J53" s="74" t="s">
        <v>573</v>
      </c>
      <c r="K53" s="74"/>
      <c r="L53" s="74"/>
    </row>
    <row r="54" spans="3:12" x14ac:dyDescent="0.2">
      <c r="C54" s="1"/>
      <c r="D54" s="1" t="s">
        <v>557</v>
      </c>
      <c r="E54" s="1" t="s">
        <v>558</v>
      </c>
      <c r="F54" s="1"/>
      <c r="G54" s="1"/>
      <c r="H54" s="1"/>
      <c r="I54" s="1"/>
      <c r="J54" s="74" t="s">
        <v>573</v>
      </c>
      <c r="K54" s="74"/>
      <c r="L54" s="74"/>
    </row>
    <row r="55" spans="3:12" x14ac:dyDescent="0.2">
      <c r="C55" s="1"/>
      <c r="D55" s="1" t="s">
        <v>558</v>
      </c>
      <c r="E55" s="1" t="s">
        <v>570</v>
      </c>
      <c r="F55" s="1"/>
      <c r="G55" s="1"/>
      <c r="H55" s="1"/>
      <c r="I55" s="1"/>
      <c r="J55" s="74" t="s">
        <v>573</v>
      </c>
      <c r="K55" s="74"/>
      <c r="L55" s="74"/>
    </row>
    <row r="56" spans="3:12" x14ac:dyDescent="0.2">
      <c r="C56" s="1"/>
      <c r="D56" s="1" t="s">
        <v>570</v>
      </c>
      <c r="E56" s="1" t="s">
        <v>558</v>
      </c>
      <c r="F56" s="1"/>
      <c r="G56" s="1"/>
      <c r="H56" s="1"/>
      <c r="I56" s="1"/>
      <c r="J56" s="74" t="s">
        <v>573</v>
      </c>
      <c r="K56" s="74"/>
      <c r="L56" s="74"/>
    </row>
    <row r="57" spans="3:12" x14ac:dyDescent="0.2">
      <c r="C57" s="1"/>
      <c r="D57" s="1" t="s">
        <v>558</v>
      </c>
      <c r="E57" s="1" t="s">
        <v>571</v>
      </c>
      <c r="F57" s="1"/>
      <c r="G57" s="1"/>
      <c r="H57" s="1"/>
      <c r="I57" s="1"/>
      <c r="J57" s="74" t="s">
        <v>573</v>
      </c>
      <c r="K57" s="74"/>
      <c r="L57" s="74"/>
    </row>
    <row r="58" spans="3:12" x14ac:dyDescent="0.2">
      <c r="C58" s="1"/>
      <c r="D58" s="1" t="s">
        <v>571</v>
      </c>
      <c r="E58" s="1" t="s">
        <v>558</v>
      </c>
      <c r="F58" s="1"/>
      <c r="G58" s="1"/>
      <c r="H58" s="1"/>
      <c r="I58" s="1"/>
      <c r="J58" s="74" t="s">
        <v>573</v>
      </c>
      <c r="K58" s="74"/>
      <c r="L58" s="74"/>
    </row>
    <row r="59" spans="3:12" x14ac:dyDescent="0.2">
      <c r="C59" s="27"/>
      <c r="D59" s="1"/>
      <c r="E59" s="1"/>
      <c r="F59" s="1"/>
      <c r="G59" s="1"/>
      <c r="H59" s="1"/>
      <c r="I59" s="1"/>
      <c r="J59" s="74"/>
      <c r="K59" s="74"/>
      <c r="L59" s="74"/>
    </row>
    <row r="60" spans="3:12" x14ac:dyDescent="0.2">
      <c r="C60" s="27"/>
      <c r="D60" s="1"/>
      <c r="E60" s="1"/>
      <c r="F60" s="1"/>
      <c r="G60" s="1"/>
      <c r="H60" s="1"/>
      <c r="I60" s="1"/>
      <c r="J60" s="74"/>
      <c r="K60" s="74"/>
      <c r="L60" s="74"/>
    </row>
    <row r="61" spans="3:12" x14ac:dyDescent="0.2">
      <c r="C61" s="1"/>
      <c r="D61" s="1"/>
      <c r="E61" s="1"/>
      <c r="F61" s="1"/>
      <c r="G61" s="1"/>
      <c r="H61" s="1"/>
      <c r="I61" s="1"/>
      <c r="J61" s="74"/>
      <c r="K61" s="74"/>
      <c r="L61" s="74"/>
    </row>
    <row r="62" spans="3:12" ht="19" x14ac:dyDescent="0.25">
      <c r="C62" s="13"/>
      <c r="D62" s="3"/>
      <c r="E62" s="1"/>
      <c r="F62" s="3"/>
      <c r="G62" s="4">
        <f>SUM(G52:G60)</f>
        <v>0</v>
      </c>
      <c r="H62" s="5">
        <f>SUM(H52:H60)</f>
        <v>0</v>
      </c>
      <c r="I62" s="3"/>
      <c r="J62" s="75"/>
      <c r="K62" s="75"/>
      <c r="L62" s="75"/>
    </row>
    <row r="63" spans="3:12" x14ac:dyDescent="0.2">
      <c r="D63" s="38"/>
      <c r="E63" s="38"/>
      <c r="F63" s="38"/>
      <c r="G63" s="38"/>
      <c r="H63" s="38"/>
      <c r="I63" s="38"/>
      <c r="J63" s="38"/>
      <c r="K63" s="38"/>
      <c r="L63" s="38"/>
    </row>
  </sheetData>
  <mergeCells count="114">
    <mergeCell ref="J61:L61"/>
    <mergeCell ref="J62:L62"/>
    <mergeCell ref="J59:L59"/>
    <mergeCell ref="J60:L60"/>
    <mergeCell ref="J53:L53"/>
    <mergeCell ref="J54:L54"/>
    <mergeCell ref="J55:L55"/>
    <mergeCell ref="J56:L56"/>
    <mergeCell ref="J57:L57"/>
    <mergeCell ref="J58:L58"/>
    <mergeCell ref="D47:E47"/>
    <mergeCell ref="J47:L47"/>
    <mergeCell ref="C48:L49"/>
    <mergeCell ref="C50:L50"/>
    <mergeCell ref="J51:L51"/>
    <mergeCell ref="J52:L52"/>
    <mergeCell ref="D44:E44"/>
    <mergeCell ref="J44:L44"/>
    <mergeCell ref="D45:E45"/>
    <mergeCell ref="J45:L45"/>
    <mergeCell ref="D46:E46"/>
    <mergeCell ref="J46:L46"/>
    <mergeCell ref="D42:E42"/>
    <mergeCell ref="J42:L42"/>
    <mergeCell ref="D43:E43"/>
    <mergeCell ref="J43:L43"/>
    <mergeCell ref="D38:E38"/>
    <mergeCell ref="J38:L38"/>
    <mergeCell ref="D39:E39"/>
    <mergeCell ref="J39:L39"/>
    <mergeCell ref="D40:E40"/>
    <mergeCell ref="J40:L40"/>
    <mergeCell ref="D37:E37"/>
    <mergeCell ref="J37:L37"/>
    <mergeCell ref="D32:E32"/>
    <mergeCell ref="J32:L32"/>
    <mergeCell ref="D33:E33"/>
    <mergeCell ref="J33:L33"/>
    <mergeCell ref="D34:E34"/>
    <mergeCell ref="J34:L34"/>
    <mergeCell ref="D41:E41"/>
    <mergeCell ref="J41:L41"/>
    <mergeCell ref="N36:Q36"/>
    <mergeCell ref="D31:E31"/>
    <mergeCell ref="J31:L31"/>
    <mergeCell ref="D26:E26"/>
    <mergeCell ref="J26:L26"/>
    <mergeCell ref="D27:E27"/>
    <mergeCell ref="J27:L27"/>
    <mergeCell ref="D28:E28"/>
    <mergeCell ref="J28:L28"/>
    <mergeCell ref="D35:E35"/>
    <mergeCell ref="J35:L35"/>
    <mergeCell ref="D36:E36"/>
    <mergeCell ref="J36:L36"/>
    <mergeCell ref="N29:R30"/>
    <mergeCell ref="N31:R31"/>
    <mergeCell ref="D21:E21"/>
    <mergeCell ref="J21:L21"/>
    <mergeCell ref="Q27:R27"/>
    <mergeCell ref="D22:E22"/>
    <mergeCell ref="J22:L22"/>
    <mergeCell ref="Q28:R28"/>
    <mergeCell ref="D29:E29"/>
    <mergeCell ref="J29:L29"/>
    <mergeCell ref="D30:E30"/>
    <mergeCell ref="J30:L30"/>
    <mergeCell ref="Q25:R25"/>
    <mergeCell ref="Q26:R26"/>
    <mergeCell ref="D16:E16"/>
    <mergeCell ref="J16:L16"/>
    <mergeCell ref="N22:R23"/>
    <mergeCell ref="D17:E17"/>
    <mergeCell ref="J17:L17"/>
    <mergeCell ref="D18:E18"/>
    <mergeCell ref="J18:L18"/>
    <mergeCell ref="N24:R24"/>
    <mergeCell ref="D23:E23"/>
    <mergeCell ref="J23:L23"/>
    <mergeCell ref="Q20:R20"/>
    <mergeCell ref="D24:E24"/>
    <mergeCell ref="J24:L24"/>
    <mergeCell ref="D25:E25"/>
    <mergeCell ref="J25:L25"/>
    <mergeCell ref="Q21:R21"/>
    <mergeCell ref="C10:L11"/>
    <mergeCell ref="Q16:R16"/>
    <mergeCell ref="Q17:R17"/>
    <mergeCell ref="C12:L12"/>
    <mergeCell ref="Q18:R18"/>
    <mergeCell ref="D13:E13"/>
    <mergeCell ref="J13:L13"/>
    <mergeCell ref="Q19:R19"/>
    <mergeCell ref="N12:R12"/>
    <mergeCell ref="Q13:R13"/>
    <mergeCell ref="D19:E19"/>
    <mergeCell ref="J19:L19"/>
    <mergeCell ref="D20:E20"/>
    <mergeCell ref="J20:L20"/>
    <mergeCell ref="I8:K8"/>
    <mergeCell ref="Q14:R14"/>
    <mergeCell ref="I9:K9"/>
    <mergeCell ref="Q15:R15"/>
    <mergeCell ref="I7:K7"/>
    <mergeCell ref="B2:L2"/>
    <mergeCell ref="N2:P2"/>
    <mergeCell ref="I3:K3"/>
    <mergeCell ref="I4:K4"/>
    <mergeCell ref="I5:K5"/>
    <mergeCell ref="I6:K6"/>
    <mergeCell ref="D14:E14"/>
    <mergeCell ref="J14:L14"/>
    <mergeCell ref="D15:E15"/>
    <mergeCell ref="J15:L15"/>
  </mergeCells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1699-50A2-1349-B806-770DA3F003B9}">
  <dimension ref="B2:R60"/>
  <sheetViews>
    <sheetView zoomScale="110" zoomScaleNormal="110" workbookViewId="0">
      <selection activeCell="J27" sqref="J27:L27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230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112</v>
      </c>
    </row>
    <row r="4" spans="2:18" ht="19" x14ac:dyDescent="0.25">
      <c r="B4" s="13">
        <v>46177</v>
      </c>
      <c r="C4" s="13">
        <v>46181</v>
      </c>
      <c r="D4" s="3" t="s">
        <v>559</v>
      </c>
      <c r="E4" s="3" t="s">
        <v>564</v>
      </c>
      <c r="F4" s="3">
        <v>175</v>
      </c>
      <c r="G4" s="3"/>
      <c r="H4" s="50">
        <f t="shared" ref="H4:H6" si="0">F4/L4</f>
        <v>43.75</v>
      </c>
      <c r="I4" s="148"/>
      <c r="J4" s="95"/>
      <c r="K4" s="95"/>
      <c r="L4" s="3">
        <f t="shared" ref="L4:L6" si="1">C4-B4</f>
        <v>4</v>
      </c>
      <c r="N4" s="3"/>
      <c r="O4" s="3"/>
      <c r="P4" s="3"/>
    </row>
    <row r="5" spans="2:18" ht="19" x14ac:dyDescent="0.25">
      <c r="B5" s="13">
        <v>46181</v>
      </c>
      <c r="C5" s="13">
        <v>46182</v>
      </c>
      <c r="D5" s="3" t="s">
        <v>566</v>
      </c>
      <c r="E5" s="3" t="s">
        <v>561</v>
      </c>
      <c r="F5" s="3">
        <v>17</v>
      </c>
      <c r="G5" s="3"/>
      <c r="H5" s="50">
        <f t="shared" si="0"/>
        <v>17</v>
      </c>
      <c r="I5" s="148"/>
      <c r="J5" s="95"/>
      <c r="K5" s="95"/>
      <c r="L5" s="3">
        <f t="shared" si="1"/>
        <v>1</v>
      </c>
      <c r="N5" s="3"/>
      <c r="O5" s="3"/>
      <c r="P5" s="3"/>
    </row>
    <row r="6" spans="2:18" ht="19" x14ac:dyDescent="0.25">
      <c r="B6" s="13">
        <v>46182</v>
      </c>
      <c r="C6" s="13">
        <v>46188</v>
      </c>
      <c r="D6" s="3" t="s">
        <v>560</v>
      </c>
      <c r="E6" s="3" t="s">
        <v>575</v>
      </c>
      <c r="F6" s="3">
        <v>178</v>
      </c>
      <c r="G6" s="3"/>
      <c r="H6" s="50">
        <f t="shared" si="0"/>
        <v>29.666666666666668</v>
      </c>
      <c r="I6" s="148"/>
      <c r="J6" s="95"/>
      <c r="K6" s="95"/>
      <c r="L6" s="3">
        <f t="shared" si="1"/>
        <v>6</v>
      </c>
      <c r="N6" s="3"/>
      <c r="O6" s="3"/>
      <c r="P6" s="3"/>
    </row>
    <row r="7" spans="2:18" ht="19" x14ac:dyDescent="0.25">
      <c r="B7" s="63"/>
      <c r="C7" s="64"/>
      <c r="D7" s="65"/>
      <c r="E7" s="65"/>
      <c r="F7" s="65"/>
      <c r="G7" s="65"/>
      <c r="H7" s="66"/>
      <c r="I7" s="145"/>
      <c r="J7" s="146"/>
      <c r="K7" s="147"/>
      <c r="L7" s="65"/>
      <c r="N7" s="3"/>
      <c r="O7" s="3"/>
      <c r="P7" s="1"/>
    </row>
    <row r="8" spans="2:18" ht="19" x14ac:dyDescent="0.25">
      <c r="B8" s="13"/>
      <c r="C8" s="13"/>
      <c r="D8" s="3"/>
      <c r="E8" s="3"/>
      <c r="F8" s="3"/>
      <c r="G8" s="3"/>
      <c r="H8" s="50"/>
      <c r="I8" s="93"/>
      <c r="J8" s="94"/>
      <c r="K8" s="108"/>
      <c r="L8" s="3"/>
      <c r="N8" s="3"/>
      <c r="O8" s="3"/>
      <c r="P8" s="1"/>
    </row>
    <row r="9" spans="2:18" ht="19" x14ac:dyDescent="0.25">
      <c r="B9" s="13"/>
      <c r="C9" s="13"/>
      <c r="D9" s="3"/>
      <c r="E9" s="3"/>
      <c r="F9" s="3"/>
      <c r="G9" s="3"/>
      <c r="H9" s="50"/>
      <c r="I9" s="113"/>
      <c r="J9" s="114"/>
      <c r="K9" s="115"/>
      <c r="L9" s="3"/>
      <c r="N9" s="1"/>
      <c r="O9" s="5">
        <f>SUM(O4:O8)</f>
        <v>0</v>
      </c>
      <c r="P9" s="1"/>
    </row>
    <row r="10" spans="2:18" ht="19" x14ac:dyDescent="0.25">
      <c r="B10" s="2"/>
      <c r="C10" s="2"/>
      <c r="D10" s="3"/>
      <c r="E10" s="3"/>
      <c r="F10" s="3">
        <f>SUM(F4:F8)</f>
        <v>370</v>
      </c>
      <c r="G10" s="5">
        <f>SUM(G4:G8)</f>
        <v>0</v>
      </c>
      <c r="H10" s="50">
        <f>F10/L10</f>
        <v>33.636363636363633</v>
      </c>
      <c r="I10" s="95"/>
      <c r="J10" s="95"/>
      <c r="K10" s="95"/>
      <c r="L10" s="3">
        <f>SUM(L4:L8)</f>
        <v>11</v>
      </c>
    </row>
    <row r="11" spans="2:18" x14ac:dyDescent="0.2">
      <c r="B11" s="38"/>
      <c r="C11" s="89"/>
      <c r="D11" s="89"/>
      <c r="E11" s="89"/>
      <c r="F11" s="89"/>
      <c r="G11" s="89"/>
      <c r="H11" s="89"/>
      <c r="I11" s="89"/>
      <c r="J11" s="89"/>
      <c r="K11" s="89"/>
      <c r="L11" s="89"/>
    </row>
    <row r="12" spans="2:18" ht="19" x14ac:dyDescent="0.25">
      <c r="C12" s="90"/>
      <c r="D12" s="90"/>
      <c r="E12" s="90"/>
      <c r="F12" s="90"/>
      <c r="G12" s="90"/>
      <c r="H12" s="90"/>
      <c r="I12" s="90"/>
      <c r="J12" s="90"/>
      <c r="K12" s="90"/>
      <c r="L12" s="90"/>
      <c r="N12" s="81" t="s">
        <v>69</v>
      </c>
      <c r="O12" s="82"/>
      <c r="P12" s="82"/>
      <c r="Q12" s="82"/>
      <c r="R12" s="83"/>
    </row>
    <row r="13" spans="2:18" ht="19" x14ac:dyDescent="0.25">
      <c r="C13" s="96" t="s">
        <v>68</v>
      </c>
      <c r="D13" s="96"/>
      <c r="E13" s="96"/>
      <c r="F13" s="96"/>
      <c r="G13" s="96"/>
      <c r="H13" s="96"/>
      <c r="I13" s="96"/>
      <c r="J13" s="96"/>
      <c r="K13" s="96"/>
      <c r="L13" s="96"/>
      <c r="N13" s="6" t="s">
        <v>45</v>
      </c>
      <c r="O13" s="6" t="s">
        <v>359</v>
      </c>
      <c r="P13" s="6" t="s">
        <v>53</v>
      </c>
      <c r="Q13" s="77" t="s">
        <v>7</v>
      </c>
      <c r="R13" s="78"/>
    </row>
    <row r="14" spans="2:18" ht="19" x14ac:dyDescent="0.25">
      <c r="C14" s="12" t="s">
        <v>20</v>
      </c>
      <c r="D14" s="98" t="s">
        <v>2</v>
      </c>
      <c r="E14" s="98"/>
      <c r="F14" s="12" t="s">
        <v>21</v>
      </c>
      <c r="G14" s="12" t="s">
        <v>230</v>
      </c>
      <c r="H14" s="12" t="s">
        <v>53</v>
      </c>
      <c r="I14" s="6" t="s">
        <v>853</v>
      </c>
      <c r="J14" s="88" t="s">
        <v>7</v>
      </c>
      <c r="K14" s="88"/>
      <c r="L14" s="78"/>
      <c r="N14" s="3" t="s">
        <v>572</v>
      </c>
      <c r="O14" s="3">
        <v>49</v>
      </c>
      <c r="P14" s="3"/>
      <c r="Q14" s="84"/>
      <c r="R14" s="85"/>
    </row>
    <row r="15" spans="2:18" ht="19" x14ac:dyDescent="0.25">
      <c r="C15" s="55"/>
      <c r="D15" s="74" t="s">
        <v>600</v>
      </c>
      <c r="E15" s="74"/>
      <c r="F15" s="1" t="s">
        <v>559</v>
      </c>
      <c r="G15" s="1">
        <v>0</v>
      </c>
      <c r="H15" s="1"/>
      <c r="I15" s="1">
        <v>15</v>
      </c>
      <c r="J15" s="74" t="s">
        <v>572</v>
      </c>
      <c r="K15" s="74"/>
      <c r="L15" s="74"/>
      <c r="N15" s="3" t="s">
        <v>631</v>
      </c>
      <c r="O15" s="3">
        <v>179</v>
      </c>
      <c r="P15" s="3"/>
      <c r="Q15" s="84" t="s">
        <v>637</v>
      </c>
      <c r="R15" s="85"/>
    </row>
    <row r="16" spans="2:18" ht="19" x14ac:dyDescent="0.25">
      <c r="C16" s="55"/>
      <c r="D16" s="74" t="s">
        <v>601</v>
      </c>
      <c r="E16" s="74"/>
      <c r="F16" s="1" t="s">
        <v>559</v>
      </c>
      <c r="G16" s="1">
        <v>0</v>
      </c>
      <c r="H16" s="1"/>
      <c r="I16" s="1">
        <v>15</v>
      </c>
      <c r="J16" s="74" t="s">
        <v>572</v>
      </c>
      <c r="K16" s="74"/>
      <c r="L16" s="74"/>
      <c r="N16" s="3" t="s">
        <v>636</v>
      </c>
      <c r="O16" s="3"/>
      <c r="P16" s="3"/>
      <c r="Q16" s="84"/>
      <c r="R16" s="85"/>
    </row>
    <row r="17" spans="3:18" ht="19" x14ac:dyDescent="0.25">
      <c r="C17" s="56"/>
      <c r="D17" s="74" t="s">
        <v>602</v>
      </c>
      <c r="E17" s="74"/>
      <c r="F17" s="1" t="s">
        <v>559</v>
      </c>
      <c r="G17" s="1">
        <v>3.5</v>
      </c>
      <c r="H17" s="57"/>
      <c r="I17" s="1">
        <v>1.5</v>
      </c>
      <c r="J17" s="74" t="s">
        <v>572</v>
      </c>
      <c r="K17" s="74"/>
      <c r="L17" s="74"/>
      <c r="N17" s="3" t="s">
        <v>442</v>
      </c>
      <c r="O17" s="3"/>
      <c r="P17" s="3"/>
      <c r="Q17" s="84"/>
      <c r="R17" s="85"/>
    </row>
    <row r="18" spans="3:18" ht="19" x14ac:dyDescent="0.25">
      <c r="C18" s="56"/>
      <c r="D18" s="74" t="s">
        <v>635</v>
      </c>
      <c r="E18" s="74"/>
      <c r="F18" s="1" t="s">
        <v>559</v>
      </c>
      <c r="G18" s="1">
        <v>0</v>
      </c>
      <c r="H18" s="57"/>
      <c r="I18" s="1">
        <v>34</v>
      </c>
      <c r="J18" s="74" t="s">
        <v>572</v>
      </c>
      <c r="K18" s="74"/>
      <c r="L18" s="74"/>
      <c r="N18" s="3"/>
      <c r="O18" s="3"/>
      <c r="P18" s="3"/>
      <c r="Q18" s="84"/>
      <c r="R18" s="85"/>
    </row>
    <row r="19" spans="3:18" ht="19" x14ac:dyDescent="0.25">
      <c r="C19" s="56"/>
      <c r="D19" s="74" t="s">
        <v>603</v>
      </c>
      <c r="E19" s="74"/>
      <c r="F19" s="1" t="s">
        <v>559</v>
      </c>
      <c r="G19" s="1">
        <v>2</v>
      </c>
      <c r="H19" s="57"/>
      <c r="I19" s="1"/>
      <c r="J19" s="74"/>
      <c r="K19" s="74"/>
      <c r="L19" s="74"/>
      <c r="N19" s="3"/>
      <c r="O19" s="3"/>
      <c r="P19" s="3"/>
      <c r="Q19" s="84"/>
      <c r="R19" s="85"/>
    </row>
    <row r="20" spans="3:18" ht="19" x14ac:dyDescent="0.25">
      <c r="C20" s="56"/>
      <c r="D20" s="74" t="s">
        <v>604</v>
      </c>
      <c r="E20" s="74"/>
      <c r="F20" s="1" t="s">
        <v>559</v>
      </c>
      <c r="G20" s="1">
        <v>0</v>
      </c>
      <c r="H20" s="57"/>
      <c r="I20" s="1">
        <v>19.2</v>
      </c>
      <c r="J20" s="74" t="s">
        <v>572</v>
      </c>
      <c r="K20" s="74"/>
      <c r="L20" s="74"/>
      <c r="N20" s="3"/>
      <c r="O20" s="4"/>
      <c r="P20" s="4"/>
      <c r="Q20" s="84"/>
      <c r="R20" s="85"/>
    </row>
    <row r="21" spans="3:18" ht="19" x14ac:dyDescent="0.25">
      <c r="C21" s="56"/>
      <c r="D21" s="74" t="s">
        <v>605</v>
      </c>
      <c r="E21" s="74"/>
      <c r="F21" s="1" t="s">
        <v>559</v>
      </c>
      <c r="G21" s="1">
        <v>0</v>
      </c>
      <c r="H21" s="57"/>
      <c r="I21" s="1">
        <v>16.5</v>
      </c>
      <c r="J21" s="74" t="s">
        <v>572</v>
      </c>
      <c r="K21" s="74"/>
      <c r="L21" s="74"/>
      <c r="N21" s="3"/>
      <c r="O21" s="15">
        <f>SUM(O14:O20)</f>
        <v>228</v>
      </c>
      <c r="P21" s="5">
        <f>SUM(P14:P18)</f>
        <v>0</v>
      </c>
      <c r="Q21" s="86"/>
      <c r="R21" s="87"/>
    </row>
    <row r="22" spans="3:18" x14ac:dyDescent="0.2">
      <c r="C22" s="56"/>
      <c r="D22" s="74" t="s">
        <v>606</v>
      </c>
      <c r="E22" s="74"/>
      <c r="F22" s="1" t="s">
        <v>559</v>
      </c>
      <c r="G22" s="1">
        <v>35</v>
      </c>
      <c r="H22" s="57"/>
      <c r="I22" s="1"/>
      <c r="J22" s="74"/>
      <c r="K22" s="74"/>
      <c r="L22" s="74"/>
      <c r="N22" s="89"/>
      <c r="O22" s="89"/>
      <c r="P22" s="89"/>
      <c r="Q22" s="89"/>
      <c r="R22" s="89"/>
    </row>
    <row r="23" spans="3:18" x14ac:dyDescent="0.2">
      <c r="C23" s="56"/>
      <c r="D23" s="74" t="s">
        <v>607</v>
      </c>
      <c r="E23" s="74"/>
      <c r="F23" s="1"/>
      <c r="G23" s="1">
        <v>11.8</v>
      </c>
      <c r="H23" s="57"/>
      <c r="I23" s="1"/>
      <c r="J23" s="74"/>
      <c r="K23" s="74"/>
      <c r="L23" s="74"/>
      <c r="N23" s="90"/>
      <c r="O23" s="90"/>
      <c r="P23" s="90"/>
      <c r="Q23" s="90"/>
      <c r="R23" s="90"/>
    </row>
    <row r="24" spans="3:18" ht="19" x14ac:dyDescent="0.25">
      <c r="C24" s="56"/>
      <c r="D24" s="74" t="s">
        <v>608</v>
      </c>
      <c r="E24" s="74"/>
      <c r="F24" s="1"/>
      <c r="G24" s="1">
        <v>61</v>
      </c>
      <c r="H24" s="57"/>
      <c r="I24" s="1"/>
      <c r="J24" s="74"/>
      <c r="K24" s="74"/>
      <c r="L24" s="74"/>
      <c r="N24" s="81" t="s">
        <v>38</v>
      </c>
      <c r="O24" s="82"/>
      <c r="P24" s="82"/>
      <c r="Q24" s="82"/>
      <c r="R24" s="82"/>
    </row>
    <row r="25" spans="3:18" ht="19" x14ac:dyDescent="0.25">
      <c r="C25" s="56"/>
      <c r="D25" s="74" t="s">
        <v>609</v>
      </c>
      <c r="E25" s="74"/>
      <c r="F25" s="1" t="s">
        <v>610</v>
      </c>
      <c r="G25" s="1">
        <v>6.7</v>
      </c>
      <c r="H25" s="57"/>
      <c r="I25" s="1"/>
      <c r="J25" s="74"/>
      <c r="K25" s="74"/>
      <c r="L25" s="74"/>
      <c r="N25" s="6" t="s">
        <v>20</v>
      </c>
      <c r="O25" s="6" t="s">
        <v>32</v>
      </c>
      <c r="P25" s="6" t="s">
        <v>4</v>
      </c>
      <c r="Q25" s="77" t="s">
        <v>7</v>
      </c>
      <c r="R25" s="88"/>
    </row>
    <row r="26" spans="3:18" ht="19" x14ac:dyDescent="0.25">
      <c r="C26" s="56"/>
      <c r="D26" s="74" t="s">
        <v>611</v>
      </c>
      <c r="E26" s="74"/>
      <c r="F26" s="1" t="s">
        <v>574</v>
      </c>
      <c r="G26" s="1">
        <v>30</v>
      </c>
      <c r="H26" s="57"/>
      <c r="I26" s="1"/>
      <c r="J26" s="74"/>
      <c r="K26" s="74"/>
      <c r="L26" s="74"/>
      <c r="N26" s="13"/>
      <c r="O26" s="3"/>
      <c r="P26" s="3"/>
      <c r="Q26" s="84"/>
      <c r="R26" s="85"/>
    </row>
    <row r="27" spans="3:18" ht="19" x14ac:dyDescent="0.25">
      <c r="C27" s="56"/>
      <c r="D27" s="74" t="s">
        <v>580</v>
      </c>
      <c r="E27" s="74"/>
      <c r="F27" s="1" t="s">
        <v>574</v>
      </c>
      <c r="G27" s="1">
        <v>4.5</v>
      </c>
      <c r="H27" s="57"/>
      <c r="I27" s="1"/>
      <c r="J27" s="74"/>
      <c r="K27" s="74"/>
      <c r="L27" s="74"/>
      <c r="N27" s="13"/>
      <c r="O27" s="3"/>
      <c r="P27" s="3"/>
      <c r="Q27" s="84"/>
      <c r="R27" s="85"/>
    </row>
    <row r="28" spans="3:18" ht="19" x14ac:dyDescent="0.25">
      <c r="C28" s="56"/>
      <c r="D28" s="74" t="s">
        <v>612</v>
      </c>
      <c r="E28" s="74"/>
      <c r="F28" s="1" t="s">
        <v>566</v>
      </c>
      <c r="G28" s="1">
        <v>0</v>
      </c>
      <c r="H28" s="57"/>
      <c r="I28" s="1"/>
      <c r="J28" s="74"/>
      <c r="K28" s="74"/>
      <c r="L28" s="74"/>
      <c r="N28" s="3"/>
      <c r="O28" s="3"/>
      <c r="P28" s="5">
        <f>P26+P27</f>
        <v>0</v>
      </c>
      <c r="Q28" s="84"/>
      <c r="R28" s="85"/>
    </row>
    <row r="29" spans="3:18" x14ac:dyDescent="0.2">
      <c r="C29" s="56"/>
      <c r="D29" s="74" t="s">
        <v>613</v>
      </c>
      <c r="E29" s="74"/>
      <c r="F29" s="1" t="s">
        <v>566</v>
      </c>
      <c r="G29" s="1">
        <v>0</v>
      </c>
      <c r="H29" s="57"/>
      <c r="I29" s="1"/>
      <c r="J29" s="74"/>
      <c r="K29" s="74"/>
      <c r="L29" s="74"/>
      <c r="N29" s="89"/>
      <c r="O29" s="89"/>
      <c r="P29" s="89"/>
      <c r="Q29" s="89"/>
      <c r="R29" s="89"/>
    </row>
    <row r="30" spans="3:18" x14ac:dyDescent="0.2">
      <c r="C30" s="56"/>
      <c r="D30" s="74" t="s">
        <v>614</v>
      </c>
      <c r="E30" s="74"/>
      <c r="F30" s="1" t="s">
        <v>560</v>
      </c>
      <c r="G30" s="1">
        <v>9.5</v>
      </c>
      <c r="H30" s="57"/>
      <c r="I30" s="1"/>
      <c r="J30" s="74"/>
      <c r="K30" s="74"/>
      <c r="L30" s="74"/>
      <c r="N30" s="90"/>
      <c r="O30" s="90"/>
      <c r="P30" s="90"/>
      <c r="Q30" s="90"/>
      <c r="R30" s="90"/>
    </row>
    <row r="31" spans="3:18" ht="19" x14ac:dyDescent="0.25">
      <c r="C31" s="56"/>
      <c r="D31" s="74" t="s">
        <v>615</v>
      </c>
      <c r="E31" s="74"/>
      <c r="F31" s="1" t="s">
        <v>560</v>
      </c>
      <c r="G31" s="1">
        <v>0</v>
      </c>
      <c r="H31" s="57"/>
      <c r="I31" s="1">
        <v>25</v>
      </c>
      <c r="J31" s="74" t="s">
        <v>631</v>
      </c>
      <c r="K31" s="74"/>
      <c r="L31" s="74"/>
      <c r="N31" s="81" t="s">
        <v>55</v>
      </c>
      <c r="O31" s="82"/>
      <c r="P31" s="82"/>
      <c r="Q31" s="82"/>
      <c r="R31" s="83"/>
    </row>
    <row r="32" spans="3:18" ht="19" x14ac:dyDescent="0.25">
      <c r="C32" s="55"/>
      <c r="D32" s="74" t="s">
        <v>616</v>
      </c>
      <c r="E32" s="74"/>
      <c r="F32" s="1" t="s">
        <v>560</v>
      </c>
      <c r="G32" s="1">
        <v>0</v>
      </c>
      <c r="H32" s="1"/>
      <c r="I32" s="1">
        <v>8.5</v>
      </c>
      <c r="J32" s="74" t="s">
        <v>631</v>
      </c>
      <c r="K32" s="74"/>
      <c r="L32" s="74"/>
      <c r="M32" s="37"/>
      <c r="N32" s="6" t="s">
        <v>90</v>
      </c>
      <c r="O32" s="6" t="s">
        <v>427</v>
      </c>
      <c r="P32" s="6" t="s">
        <v>56</v>
      </c>
      <c r="Q32" s="6" t="s">
        <v>37</v>
      </c>
      <c r="R32" s="6" t="s">
        <v>400</v>
      </c>
    </row>
    <row r="33" spans="3:18" ht="19" x14ac:dyDescent="0.25">
      <c r="C33" s="55"/>
      <c r="D33" s="74" t="s">
        <v>617</v>
      </c>
      <c r="E33" s="74"/>
      <c r="F33" s="1" t="s">
        <v>560</v>
      </c>
      <c r="G33" s="1">
        <v>29</v>
      </c>
      <c r="H33" s="1"/>
      <c r="I33" s="1"/>
      <c r="J33" s="74"/>
      <c r="K33" s="74"/>
      <c r="L33" s="74"/>
      <c r="N33" s="3"/>
      <c r="O33" s="3"/>
      <c r="P33" s="3"/>
      <c r="Q33" s="5"/>
      <c r="R33" s="5"/>
    </row>
    <row r="34" spans="3:18" x14ac:dyDescent="0.2">
      <c r="C34" s="55"/>
      <c r="D34" s="74" t="s">
        <v>618</v>
      </c>
      <c r="E34" s="74"/>
      <c r="F34" s="1" t="s">
        <v>560</v>
      </c>
      <c r="G34" s="1">
        <v>0</v>
      </c>
      <c r="H34" s="1"/>
      <c r="I34" s="1">
        <v>18</v>
      </c>
      <c r="J34" s="74" t="s">
        <v>631</v>
      </c>
      <c r="K34" s="74"/>
      <c r="L34" s="74"/>
    </row>
    <row r="35" spans="3:18" x14ac:dyDescent="0.2">
      <c r="C35" s="55"/>
      <c r="D35" s="74" t="s">
        <v>619</v>
      </c>
      <c r="E35" s="74"/>
      <c r="F35" s="1" t="s">
        <v>560</v>
      </c>
      <c r="G35" s="1">
        <v>0</v>
      </c>
      <c r="H35" s="1"/>
      <c r="I35" s="1">
        <v>19.899999999999999</v>
      </c>
      <c r="J35" s="74" t="s">
        <v>631</v>
      </c>
      <c r="K35" s="74"/>
      <c r="L35" s="74"/>
    </row>
    <row r="36" spans="3:18" ht="19" x14ac:dyDescent="0.25">
      <c r="C36" s="55"/>
      <c r="D36" s="74" t="s">
        <v>620</v>
      </c>
      <c r="E36" s="74"/>
      <c r="F36" s="1" t="s">
        <v>560</v>
      </c>
      <c r="G36" s="1">
        <v>0</v>
      </c>
      <c r="H36" s="1"/>
      <c r="I36" s="1">
        <v>14.5</v>
      </c>
      <c r="J36" s="74" t="s">
        <v>631</v>
      </c>
      <c r="K36" s="74"/>
      <c r="L36" s="74"/>
      <c r="N36" s="81" t="s">
        <v>57</v>
      </c>
      <c r="O36" s="82"/>
      <c r="P36" s="82"/>
      <c r="Q36" s="83"/>
    </row>
    <row r="37" spans="3:18" ht="19" x14ac:dyDescent="0.25">
      <c r="C37" s="55"/>
      <c r="D37" s="74" t="s">
        <v>621</v>
      </c>
      <c r="E37" s="74"/>
      <c r="F37" s="1" t="s">
        <v>560</v>
      </c>
      <c r="G37" s="1">
        <v>0</v>
      </c>
      <c r="H37" s="1"/>
      <c r="I37" s="1">
        <v>29</v>
      </c>
      <c r="J37" s="74" t="s">
        <v>631</v>
      </c>
      <c r="K37" s="74"/>
      <c r="L37" s="74"/>
      <c r="N37" s="6" t="s">
        <v>63</v>
      </c>
      <c r="O37" s="6" t="s">
        <v>53</v>
      </c>
      <c r="P37" s="6" t="s">
        <v>400</v>
      </c>
      <c r="Q37" s="6" t="s">
        <v>456</v>
      </c>
    </row>
    <row r="38" spans="3:18" ht="19" x14ac:dyDescent="0.25">
      <c r="C38" s="55"/>
      <c r="D38" s="74" t="s">
        <v>622</v>
      </c>
      <c r="E38" s="74"/>
      <c r="F38" s="1" t="s">
        <v>560</v>
      </c>
      <c r="G38" s="1">
        <v>6</v>
      </c>
      <c r="H38" s="1"/>
      <c r="I38" s="1">
        <v>11</v>
      </c>
      <c r="J38" s="74" t="s">
        <v>631</v>
      </c>
      <c r="K38" s="74"/>
      <c r="L38" s="74"/>
      <c r="N38" s="5">
        <f>(F10+O21+G48+G59)*R3+O9+P28</f>
        <v>100105.59999999999</v>
      </c>
      <c r="O38" s="5">
        <f>G10+O9+P28+P21+H48+H59+R33</f>
        <v>0</v>
      </c>
      <c r="P38" s="5"/>
      <c r="Q38" s="5">
        <f>P38+O38</f>
        <v>0</v>
      </c>
    </row>
    <row r="39" spans="3:18" x14ac:dyDescent="0.2">
      <c r="C39" s="55"/>
      <c r="D39" s="74" t="s">
        <v>623</v>
      </c>
      <c r="E39" s="74"/>
      <c r="F39" s="1" t="s">
        <v>560</v>
      </c>
      <c r="G39" s="1">
        <v>0</v>
      </c>
      <c r="H39" s="1"/>
      <c r="I39" s="1">
        <v>22</v>
      </c>
      <c r="J39" s="74" t="s">
        <v>631</v>
      </c>
      <c r="K39" s="74"/>
      <c r="L39" s="74"/>
      <c r="N39" s="53"/>
    </row>
    <row r="40" spans="3:18" x14ac:dyDescent="0.2">
      <c r="C40" s="55"/>
      <c r="D40" s="74" t="s">
        <v>624</v>
      </c>
      <c r="E40" s="74"/>
      <c r="F40" s="1" t="s">
        <v>560</v>
      </c>
      <c r="G40" s="1">
        <v>0</v>
      </c>
      <c r="H40" s="1"/>
      <c r="I40" s="1">
        <v>38</v>
      </c>
      <c r="J40" s="74" t="s">
        <v>631</v>
      </c>
      <c r="K40" s="74"/>
      <c r="L40" s="74"/>
    </row>
    <row r="41" spans="3:18" x14ac:dyDescent="0.2">
      <c r="C41" s="55"/>
      <c r="D41" s="74" t="s">
        <v>626</v>
      </c>
      <c r="E41" s="74"/>
      <c r="F41" s="1" t="s">
        <v>625</v>
      </c>
      <c r="G41" s="1">
        <v>20</v>
      </c>
      <c r="H41" s="1"/>
      <c r="I41" s="1"/>
      <c r="J41" s="74" t="s">
        <v>631</v>
      </c>
      <c r="K41" s="74"/>
      <c r="L41" s="74"/>
    </row>
    <row r="42" spans="3:18" x14ac:dyDescent="0.2">
      <c r="C42" s="55"/>
      <c r="D42" s="74" t="s">
        <v>627</v>
      </c>
      <c r="E42" s="74"/>
      <c r="F42" s="1"/>
      <c r="G42" s="1">
        <v>15</v>
      </c>
      <c r="H42" s="1"/>
      <c r="I42" s="1"/>
      <c r="J42" s="74"/>
      <c r="K42" s="74"/>
      <c r="L42" s="74"/>
    </row>
    <row r="43" spans="3:18" x14ac:dyDescent="0.2">
      <c r="C43" s="55"/>
      <c r="D43" s="74" t="s">
        <v>628</v>
      </c>
      <c r="E43" s="74"/>
      <c r="F43" s="1"/>
      <c r="G43" s="1">
        <v>15</v>
      </c>
      <c r="H43" s="1"/>
      <c r="I43" s="1">
        <v>15</v>
      </c>
      <c r="J43" s="152" t="s">
        <v>869</v>
      </c>
      <c r="K43" s="157"/>
      <c r="L43" s="153"/>
    </row>
    <row r="44" spans="3:18" x14ac:dyDescent="0.2">
      <c r="C44" s="56"/>
      <c r="D44" s="74" t="s">
        <v>638</v>
      </c>
      <c r="E44" s="74"/>
      <c r="F44" s="1"/>
      <c r="G44" s="1">
        <v>0</v>
      </c>
      <c r="H44" s="57"/>
      <c r="I44" s="1">
        <v>33</v>
      </c>
      <c r="J44" s="152" t="s">
        <v>631</v>
      </c>
      <c r="K44" s="157"/>
      <c r="L44" s="153"/>
    </row>
    <row r="45" spans="3:18" x14ac:dyDescent="0.2">
      <c r="C45" s="55"/>
      <c r="D45" s="79"/>
      <c r="E45" s="80"/>
      <c r="F45" s="1"/>
      <c r="G45" s="1"/>
      <c r="H45" s="1"/>
      <c r="I45" s="57"/>
      <c r="J45" s="74"/>
      <c r="K45" s="74"/>
      <c r="L45" s="74"/>
    </row>
    <row r="46" spans="3:18" x14ac:dyDescent="0.2">
      <c r="C46" s="56"/>
      <c r="D46" s="67"/>
      <c r="E46" s="68"/>
      <c r="F46" s="57"/>
      <c r="G46" s="57"/>
      <c r="H46" s="57"/>
      <c r="I46" s="57"/>
      <c r="J46" s="74"/>
      <c r="K46" s="74"/>
      <c r="L46" s="74"/>
    </row>
    <row r="47" spans="3:18" ht="19" x14ac:dyDescent="0.25">
      <c r="C47" s="1"/>
      <c r="D47" s="79"/>
      <c r="E47" s="80"/>
      <c r="F47" s="3"/>
      <c r="G47" s="4"/>
      <c r="H47" s="4"/>
      <c r="I47" s="3"/>
      <c r="J47" s="150"/>
      <c r="K47" s="99"/>
      <c r="L47" s="100"/>
    </row>
    <row r="48" spans="3:18" ht="19" x14ac:dyDescent="0.25">
      <c r="C48" s="1"/>
      <c r="D48" s="79"/>
      <c r="E48" s="80"/>
      <c r="F48" s="14"/>
      <c r="G48" s="4">
        <f>SUM(G15:G46)</f>
        <v>249</v>
      </c>
      <c r="H48" s="5">
        <f>SUM(H15:H46)</f>
        <v>0</v>
      </c>
      <c r="I48" s="3">
        <f>SUM(I15:I46)</f>
        <v>335.1</v>
      </c>
      <c r="J48" s="151"/>
      <c r="K48" s="101"/>
      <c r="L48" s="102"/>
    </row>
    <row r="49" spans="3:12" x14ac:dyDescent="0.2">
      <c r="C49" s="89"/>
      <c r="D49" s="89"/>
      <c r="E49" s="89"/>
      <c r="F49" s="89"/>
      <c r="G49" s="89"/>
      <c r="H49" s="89"/>
      <c r="I49" s="89"/>
      <c r="J49" s="89"/>
      <c r="K49" s="89"/>
      <c r="L49" s="89"/>
    </row>
    <row r="50" spans="3:12" x14ac:dyDescent="0.2">
      <c r="C50" s="90"/>
      <c r="D50" s="90"/>
      <c r="E50" s="90"/>
      <c r="F50" s="90"/>
      <c r="G50" s="90"/>
      <c r="H50" s="90"/>
      <c r="I50" s="90"/>
      <c r="J50" s="90"/>
      <c r="K50" s="90"/>
      <c r="L50" s="90"/>
    </row>
    <row r="51" spans="3:12" ht="19" x14ac:dyDescent="0.25">
      <c r="C51" s="81" t="s">
        <v>33</v>
      </c>
      <c r="D51" s="82"/>
      <c r="E51" s="82"/>
      <c r="F51" s="82"/>
      <c r="G51" s="82"/>
      <c r="H51" s="82"/>
      <c r="I51" s="82"/>
      <c r="J51" s="82"/>
      <c r="K51" s="82"/>
      <c r="L51" s="83"/>
    </row>
    <row r="52" spans="3:12" ht="19" x14ac:dyDescent="0.25">
      <c r="C52" s="6" t="s">
        <v>20</v>
      </c>
      <c r="D52" s="6" t="s">
        <v>65</v>
      </c>
      <c r="E52" s="6" t="s">
        <v>66</v>
      </c>
      <c r="F52" s="6" t="s">
        <v>196</v>
      </c>
      <c r="G52" s="6" t="s">
        <v>230</v>
      </c>
      <c r="H52" s="6" t="s">
        <v>53</v>
      </c>
      <c r="I52" s="6" t="s">
        <v>195</v>
      </c>
      <c r="J52" s="116" t="s">
        <v>7</v>
      </c>
      <c r="K52" s="117"/>
      <c r="L52" s="149"/>
    </row>
    <row r="53" spans="3:12" x14ac:dyDescent="0.2">
      <c r="C53" s="1"/>
      <c r="D53" s="1" t="s">
        <v>558</v>
      </c>
      <c r="E53" s="1" t="s">
        <v>559</v>
      </c>
      <c r="F53" s="1"/>
      <c r="G53" s="1">
        <v>22</v>
      </c>
      <c r="H53" s="1"/>
      <c r="I53" s="1"/>
      <c r="J53" s="74"/>
      <c r="K53" s="74"/>
      <c r="L53" s="74"/>
    </row>
    <row r="54" spans="3:12" x14ac:dyDescent="0.2">
      <c r="C54" s="1"/>
      <c r="D54" s="1" t="s">
        <v>559</v>
      </c>
      <c r="E54" s="1" t="s">
        <v>566</v>
      </c>
      <c r="F54" s="1"/>
      <c r="G54" s="1">
        <v>14.9</v>
      </c>
      <c r="H54" s="1"/>
      <c r="I54" s="1"/>
      <c r="J54" s="74"/>
      <c r="K54" s="74"/>
      <c r="L54" s="74"/>
    </row>
    <row r="55" spans="3:12" x14ac:dyDescent="0.2">
      <c r="C55" s="1"/>
      <c r="D55" s="1" t="s">
        <v>566</v>
      </c>
      <c r="E55" s="1" t="s">
        <v>560</v>
      </c>
      <c r="F55" s="1"/>
      <c r="G55" s="1">
        <v>9.9</v>
      </c>
      <c r="H55" s="1"/>
      <c r="I55" s="1"/>
      <c r="J55" s="74"/>
      <c r="K55" s="74"/>
      <c r="L55" s="74"/>
    </row>
    <row r="56" spans="3:12" x14ac:dyDescent="0.2">
      <c r="C56" s="1"/>
      <c r="D56" s="1"/>
      <c r="E56" s="1"/>
      <c r="F56" s="1"/>
      <c r="G56" s="1"/>
      <c r="H56" s="1"/>
      <c r="I56" s="1"/>
      <c r="J56" s="74"/>
      <c r="K56" s="74"/>
      <c r="L56" s="74"/>
    </row>
    <row r="57" spans="3:12" x14ac:dyDescent="0.2">
      <c r="C57" s="27"/>
      <c r="D57" s="1"/>
      <c r="E57" s="1"/>
      <c r="F57" s="1"/>
      <c r="G57" s="1"/>
      <c r="H57" s="1"/>
      <c r="I57" s="1"/>
      <c r="J57" s="74"/>
      <c r="K57" s="74"/>
      <c r="L57" s="74"/>
    </row>
    <row r="58" spans="3:12" x14ac:dyDescent="0.2">
      <c r="C58" s="1"/>
      <c r="D58" s="1"/>
      <c r="E58" s="1"/>
      <c r="F58" s="1"/>
      <c r="G58" s="1"/>
      <c r="H58" s="1"/>
      <c r="I58" s="1"/>
      <c r="J58" s="74"/>
      <c r="K58" s="74"/>
      <c r="L58" s="74"/>
    </row>
    <row r="59" spans="3:12" ht="19" x14ac:dyDescent="0.25">
      <c r="C59" s="13"/>
      <c r="D59" s="3"/>
      <c r="E59" s="1"/>
      <c r="F59" s="3"/>
      <c r="G59" s="4">
        <f>SUM(G53:G57)</f>
        <v>46.8</v>
      </c>
      <c r="H59" s="5">
        <f>SUM(H53:H57)</f>
        <v>0</v>
      </c>
      <c r="I59" s="3"/>
      <c r="J59" s="75"/>
      <c r="K59" s="75"/>
      <c r="L59" s="75"/>
    </row>
    <row r="60" spans="3:12" x14ac:dyDescent="0.2">
      <c r="D60" s="38"/>
      <c r="E60" s="38"/>
      <c r="F60" s="38"/>
      <c r="G60" s="38"/>
      <c r="H60" s="38"/>
      <c r="I60" s="38"/>
      <c r="J60" s="38"/>
      <c r="K60" s="38"/>
      <c r="L60" s="38"/>
    </row>
  </sheetData>
  <mergeCells count="111">
    <mergeCell ref="J58:L58"/>
    <mergeCell ref="J59:L59"/>
    <mergeCell ref="J57:L57"/>
    <mergeCell ref="J54:L54"/>
    <mergeCell ref="J55:L55"/>
    <mergeCell ref="J56:L56"/>
    <mergeCell ref="D48:E48"/>
    <mergeCell ref="J48:L48"/>
    <mergeCell ref="C49:L50"/>
    <mergeCell ref="C51:L51"/>
    <mergeCell ref="J52:L52"/>
    <mergeCell ref="J53:L53"/>
    <mergeCell ref="D45:E45"/>
    <mergeCell ref="J45:L45"/>
    <mergeCell ref="D46:E46"/>
    <mergeCell ref="J46:L46"/>
    <mergeCell ref="D47:E47"/>
    <mergeCell ref="J47:L47"/>
    <mergeCell ref="D42:E42"/>
    <mergeCell ref="J42:L42"/>
    <mergeCell ref="D43:E43"/>
    <mergeCell ref="J43:L43"/>
    <mergeCell ref="D44:E44"/>
    <mergeCell ref="J44:L44"/>
    <mergeCell ref="J30:L30"/>
    <mergeCell ref="D31:E31"/>
    <mergeCell ref="J31:L31"/>
    <mergeCell ref="N29:R30"/>
    <mergeCell ref="D39:E39"/>
    <mergeCell ref="J39:L39"/>
    <mergeCell ref="D40:E40"/>
    <mergeCell ref="J40:L40"/>
    <mergeCell ref="D41:E41"/>
    <mergeCell ref="J41:L41"/>
    <mergeCell ref="D36:E36"/>
    <mergeCell ref="J36:L36"/>
    <mergeCell ref="D37:E37"/>
    <mergeCell ref="J37:L37"/>
    <mergeCell ref="D38:E38"/>
    <mergeCell ref="J38:L38"/>
    <mergeCell ref="N31:R31"/>
    <mergeCell ref="D22:E22"/>
    <mergeCell ref="J22:L22"/>
    <mergeCell ref="Q27:R27"/>
    <mergeCell ref="D23:E23"/>
    <mergeCell ref="J23:L23"/>
    <mergeCell ref="Q28:R28"/>
    <mergeCell ref="Q25:R25"/>
    <mergeCell ref="N36:Q36"/>
    <mergeCell ref="D32:E32"/>
    <mergeCell ref="J32:L32"/>
    <mergeCell ref="D27:E27"/>
    <mergeCell ref="J27:L27"/>
    <mergeCell ref="D28:E28"/>
    <mergeCell ref="J28:L28"/>
    <mergeCell ref="D29:E29"/>
    <mergeCell ref="J29:L29"/>
    <mergeCell ref="D33:E33"/>
    <mergeCell ref="J33:L33"/>
    <mergeCell ref="D34:E34"/>
    <mergeCell ref="J34:L34"/>
    <mergeCell ref="D35:E35"/>
    <mergeCell ref="J35:L35"/>
    <mergeCell ref="D30:E30"/>
    <mergeCell ref="Q26:R26"/>
    <mergeCell ref="D17:E17"/>
    <mergeCell ref="J17:L17"/>
    <mergeCell ref="N22:R23"/>
    <mergeCell ref="D18:E18"/>
    <mergeCell ref="J18:L18"/>
    <mergeCell ref="D19:E19"/>
    <mergeCell ref="J19:L19"/>
    <mergeCell ref="N24:R24"/>
    <mergeCell ref="D24:E24"/>
    <mergeCell ref="J24:L24"/>
    <mergeCell ref="Q20:R20"/>
    <mergeCell ref="D25:E25"/>
    <mergeCell ref="J25:L25"/>
    <mergeCell ref="D26:E26"/>
    <mergeCell ref="J26:L26"/>
    <mergeCell ref="D16:E16"/>
    <mergeCell ref="J16:L16"/>
    <mergeCell ref="Q21:R21"/>
    <mergeCell ref="C11:L12"/>
    <mergeCell ref="Q16:R16"/>
    <mergeCell ref="Q17:R17"/>
    <mergeCell ref="C13:L13"/>
    <mergeCell ref="Q18:R18"/>
    <mergeCell ref="D14:E14"/>
    <mergeCell ref="J14:L14"/>
    <mergeCell ref="Q19:R19"/>
    <mergeCell ref="N12:R12"/>
    <mergeCell ref="D20:E20"/>
    <mergeCell ref="J20:L20"/>
    <mergeCell ref="D21:E21"/>
    <mergeCell ref="J21:L21"/>
    <mergeCell ref="I8:K8"/>
    <mergeCell ref="Q13:R13"/>
    <mergeCell ref="I9:K9"/>
    <mergeCell ref="Q14:R14"/>
    <mergeCell ref="I10:K10"/>
    <mergeCell ref="Q15:R15"/>
    <mergeCell ref="I7:K7"/>
    <mergeCell ref="B2:L2"/>
    <mergeCell ref="N2:P2"/>
    <mergeCell ref="I3:K3"/>
    <mergeCell ref="I4:K4"/>
    <mergeCell ref="I5:K5"/>
    <mergeCell ref="I6:K6"/>
    <mergeCell ref="D15:E15"/>
    <mergeCell ref="J15:L15"/>
  </mergeCells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0E10-DE80-7244-B442-D7E94312D25B}">
  <dimension ref="B2:R100"/>
  <sheetViews>
    <sheetView topLeftCell="A69" zoomScale="110" zoomScaleNormal="110" workbookViewId="0">
      <selection activeCell="I84" sqref="I84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230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112</v>
      </c>
    </row>
    <row r="4" spans="2:18" ht="19" x14ac:dyDescent="0.25">
      <c r="B4" s="13">
        <v>46164</v>
      </c>
      <c r="C4" s="13">
        <v>46166</v>
      </c>
      <c r="D4" s="3" t="s">
        <v>651</v>
      </c>
      <c r="E4" s="3" t="s">
        <v>646</v>
      </c>
      <c r="F4" s="3">
        <v>90</v>
      </c>
      <c r="G4" s="3"/>
      <c r="H4" s="50">
        <f t="shared" ref="H4:H10" si="0">F4/L4</f>
        <v>45</v>
      </c>
      <c r="I4" s="95"/>
      <c r="J4" s="95"/>
      <c r="K4" s="95"/>
      <c r="L4" s="3">
        <f t="shared" ref="L4:L10" si="1">C4-B4</f>
        <v>2</v>
      </c>
      <c r="N4" s="3"/>
      <c r="O4" s="3"/>
      <c r="P4" s="3"/>
    </row>
    <row r="5" spans="2:18" ht="19" x14ac:dyDescent="0.25">
      <c r="B5" s="13">
        <v>46166</v>
      </c>
      <c r="C5" s="13">
        <v>46168</v>
      </c>
      <c r="D5" s="3" t="s">
        <v>647</v>
      </c>
      <c r="E5" s="3" t="s">
        <v>648</v>
      </c>
      <c r="F5" s="3">
        <v>87</v>
      </c>
      <c r="G5" s="3"/>
      <c r="H5" s="50">
        <f t="shared" si="0"/>
        <v>43.5</v>
      </c>
      <c r="I5" s="95"/>
      <c r="J5" s="95"/>
      <c r="K5" s="95"/>
      <c r="L5" s="3">
        <f t="shared" si="1"/>
        <v>2</v>
      </c>
      <c r="N5" s="3"/>
      <c r="O5" s="3"/>
      <c r="P5" s="3"/>
    </row>
    <row r="6" spans="2:18" ht="19" x14ac:dyDescent="0.25">
      <c r="B6" s="13">
        <v>46168</v>
      </c>
      <c r="C6" s="13">
        <v>46170</v>
      </c>
      <c r="D6" s="3" t="s">
        <v>649</v>
      </c>
      <c r="E6" s="3" t="s">
        <v>652</v>
      </c>
      <c r="F6" s="3">
        <v>92</v>
      </c>
      <c r="G6" s="3"/>
      <c r="H6" s="50">
        <f t="shared" si="0"/>
        <v>46</v>
      </c>
      <c r="I6" s="95"/>
      <c r="J6" s="95"/>
      <c r="K6" s="95"/>
      <c r="L6" s="3">
        <f t="shared" si="1"/>
        <v>2</v>
      </c>
      <c r="N6" s="3"/>
      <c r="O6" s="3"/>
      <c r="P6" s="3"/>
    </row>
    <row r="7" spans="2:18" ht="19" x14ac:dyDescent="0.25">
      <c r="B7" s="13">
        <v>46170</v>
      </c>
      <c r="C7" s="13">
        <v>46173</v>
      </c>
      <c r="D7" s="3" t="s">
        <v>650</v>
      </c>
      <c r="E7" s="3" t="s">
        <v>653</v>
      </c>
      <c r="F7" s="3">
        <v>138</v>
      </c>
      <c r="G7" s="3"/>
      <c r="H7" s="50">
        <f t="shared" si="0"/>
        <v>46</v>
      </c>
      <c r="I7" s="95"/>
      <c r="J7" s="95"/>
      <c r="K7" s="95"/>
      <c r="L7" s="3">
        <f t="shared" si="1"/>
        <v>3</v>
      </c>
      <c r="N7" s="3"/>
      <c r="O7" s="3"/>
      <c r="P7" s="1"/>
    </row>
    <row r="8" spans="2:18" ht="19" x14ac:dyDescent="0.25">
      <c r="B8" s="13">
        <v>46173</v>
      </c>
      <c r="C8" s="13">
        <v>46176</v>
      </c>
      <c r="D8" s="3" t="s">
        <v>643</v>
      </c>
      <c r="E8" s="3" t="s">
        <v>644</v>
      </c>
      <c r="F8" s="3">
        <v>93</v>
      </c>
      <c r="G8" s="3"/>
      <c r="H8" s="50">
        <f t="shared" si="0"/>
        <v>31</v>
      </c>
      <c r="I8" s="95"/>
      <c r="J8" s="95"/>
      <c r="K8" s="95"/>
      <c r="L8" s="3">
        <f t="shared" si="1"/>
        <v>3</v>
      </c>
      <c r="N8" s="3"/>
      <c r="O8" s="3"/>
      <c r="P8" s="1"/>
    </row>
    <row r="9" spans="2:18" ht="19" x14ac:dyDescent="0.25">
      <c r="B9" s="13">
        <v>46176</v>
      </c>
      <c r="C9" s="13">
        <v>46178</v>
      </c>
      <c r="D9" s="3" t="s">
        <v>641</v>
      </c>
      <c r="E9" s="3" t="s">
        <v>642</v>
      </c>
      <c r="F9" s="3">
        <v>76</v>
      </c>
      <c r="G9" s="3"/>
      <c r="H9" s="50">
        <f t="shared" si="0"/>
        <v>38</v>
      </c>
      <c r="I9" s="95"/>
      <c r="J9" s="95"/>
      <c r="K9" s="95"/>
      <c r="L9" s="3">
        <f t="shared" si="1"/>
        <v>2</v>
      </c>
      <c r="N9" s="1"/>
      <c r="O9" s="5">
        <f>SUM(O4:O8)</f>
        <v>0</v>
      </c>
      <c r="P9" s="1"/>
    </row>
    <row r="10" spans="2:18" ht="19" x14ac:dyDescent="0.25">
      <c r="B10" s="13">
        <v>46178</v>
      </c>
      <c r="C10" s="13">
        <v>46181</v>
      </c>
      <c r="D10" s="3" t="s">
        <v>645</v>
      </c>
      <c r="E10" s="3" t="s">
        <v>654</v>
      </c>
      <c r="F10" s="3">
        <v>128</v>
      </c>
      <c r="G10" s="3"/>
      <c r="H10" s="50">
        <f t="shared" si="0"/>
        <v>42.666666666666664</v>
      </c>
      <c r="I10" s="95"/>
      <c r="J10" s="95"/>
      <c r="K10" s="95"/>
      <c r="L10" s="3">
        <f t="shared" si="1"/>
        <v>3</v>
      </c>
    </row>
    <row r="11" spans="2:18" ht="19" x14ac:dyDescent="0.25">
      <c r="B11" s="63"/>
      <c r="C11" s="64"/>
      <c r="D11" s="65"/>
      <c r="E11" s="65"/>
      <c r="F11" s="65"/>
      <c r="G11" s="65"/>
      <c r="H11" s="66"/>
      <c r="I11" s="145"/>
      <c r="J11" s="146"/>
      <c r="K11" s="147"/>
      <c r="L11" s="65"/>
    </row>
    <row r="12" spans="2:18" ht="19" x14ac:dyDescent="0.25">
      <c r="B12" s="13"/>
      <c r="C12" s="13"/>
      <c r="D12" s="3"/>
      <c r="E12" s="3"/>
      <c r="F12" s="3"/>
      <c r="G12" s="3"/>
      <c r="H12" s="50"/>
      <c r="I12" s="93"/>
      <c r="J12" s="94"/>
      <c r="K12" s="108"/>
      <c r="L12" s="3"/>
      <c r="N12" s="81" t="s">
        <v>69</v>
      </c>
      <c r="O12" s="82"/>
      <c r="P12" s="82"/>
      <c r="Q12" s="82"/>
      <c r="R12" s="83"/>
    </row>
    <row r="13" spans="2:18" ht="19" x14ac:dyDescent="0.25">
      <c r="B13" s="13"/>
      <c r="C13" s="13"/>
      <c r="D13" s="3"/>
      <c r="E13" s="3"/>
      <c r="F13" s="3"/>
      <c r="G13" s="3"/>
      <c r="H13" s="50"/>
      <c r="I13" s="93"/>
      <c r="J13" s="94"/>
      <c r="K13" s="108"/>
      <c r="L13" s="3"/>
      <c r="N13" s="6" t="s">
        <v>45</v>
      </c>
      <c r="O13" s="6" t="s">
        <v>230</v>
      </c>
      <c r="P13" s="6" t="s">
        <v>53</v>
      </c>
      <c r="Q13" s="77" t="s">
        <v>7</v>
      </c>
      <c r="R13" s="78"/>
    </row>
    <row r="14" spans="2:18" ht="19" x14ac:dyDescent="0.25">
      <c r="B14" s="13"/>
      <c r="C14" s="13"/>
      <c r="D14" s="3"/>
      <c r="E14" s="3"/>
      <c r="F14" s="3"/>
      <c r="G14" s="3"/>
      <c r="H14" s="50"/>
      <c r="I14" s="113"/>
      <c r="J14" s="114"/>
      <c r="K14" s="115"/>
      <c r="L14" s="3"/>
      <c r="N14" s="3" t="s">
        <v>870</v>
      </c>
      <c r="O14" s="3"/>
      <c r="P14" s="3"/>
      <c r="Q14" s="84"/>
      <c r="R14" s="85"/>
    </row>
    <row r="15" spans="2:18" ht="19" x14ac:dyDescent="0.25">
      <c r="B15" s="2"/>
      <c r="C15" s="2"/>
      <c r="D15" s="3"/>
      <c r="E15" s="3"/>
      <c r="F15" s="3">
        <f>SUM(F4:F13)</f>
        <v>704</v>
      </c>
      <c r="G15" s="5">
        <f>SUM(G4:G13)</f>
        <v>0</v>
      </c>
      <c r="H15" s="50">
        <f>F15/L15</f>
        <v>41.411764705882355</v>
      </c>
      <c r="I15" s="95"/>
      <c r="J15" s="95"/>
      <c r="K15" s="95"/>
      <c r="L15" s="3">
        <f>SUM(L4:L13)</f>
        <v>17</v>
      </c>
      <c r="N15" s="3"/>
      <c r="O15" s="3"/>
      <c r="P15" s="3"/>
      <c r="Q15" s="84"/>
      <c r="R15" s="85"/>
    </row>
    <row r="16" spans="2:18" ht="19" x14ac:dyDescent="0.25">
      <c r="B16" s="38"/>
      <c r="C16" s="89"/>
      <c r="D16" s="89"/>
      <c r="E16" s="89"/>
      <c r="F16" s="89"/>
      <c r="G16" s="89"/>
      <c r="H16" s="89"/>
      <c r="I16" s="89"/>
      <c r="J16" s="89"/>
      <c r="K16" s="89"/>
      <c r="L16" s="89"/>
      <c r="N16" s="3"/>
      <c r="O16" s="3"/>
      <c r="P16" s="3"/>
      <c r="Q16" s="84"/>
      <c r="R16" s="85"/>
    </row>
    <row r="17" spans="3:18" ht="19" x14ac:dyDescent="0.25">
      <c r="C17" s="90"/>
      <c r="D17" s="90"/>
      <c r="E17" s="90"/>
      <c r="F17" s="90"/>
      <c r="G17" s="90"/>
      <c r="H17" s="90"/>
      <c r="I17" s="90"/>
      <c r="J17" s="90"/>
      <c r="K17" s="90"/>
      <c r="L17" s="90"/>
      <c r="N17" s="3"/>
      <c r="O17" s="3"/>
      <c r="P17" s="3"/>
      <c r="Q17" s="84"/>
      <c r="R17" s="85"/>
    </row>
    <row r="18" spans="3:18" ht="19" x14ac:dyDescent="0.25">
      <c r="C18" s="96" t="s">
        <v>68</v>
      </c>
      <c r="D18" s="96"/>
      <c r="E18" s="96"/>
      <c r="F18" s="96"/>
      <c r="G18" s="96"/>
      <c r="H18" s="96"/>
      <c r="I18" s="96"/>
      <c r="J18" s="96"/>
      <c r="K18" s="96"/>
      <c r="L18" s="96"/>
      <c r="N18" s="3"/>
      <c r="O18" s="3"/>
      <c r="P18" s="3"/>
      <c r="Q18" s="84"/>
      <c r="R18" s="85"/>
    </row>
    <row r="19" spans="3:18" ht="19" x14ac:dyDescent="0.25">
      <c r="C19" s="12" t="s">
        <v>20</v>
      </c>
      <c r="D19" s="98" t="s">
        <v>2</v>
      </c>
      <c r="E19" s="98"/>
      <c r="F19" s="12" t="s">
        <v>21</v>
      </c>
      <c r="G19" s="12" t="s">
        <v>230</v>
      </c>
      <c r="H19" s="12" t="s">
        <v>53</v>
      </c>
      <c r="I19" s="6" t="s">
        <v>853</v>
      </c>
      <c r="J19" s="88" t="s">
        <v>7</v>
      </c>
      <c r="K19" s="88"/>
      <c r="L19" s="78"/>
      <c r="N19" s="3"/>
      <c r="O19" s="3"/>
      <c r="P19" s="3"/>
      <c r="Q19" s="84"/>
      <c r="R19" s="85"/>
    </row>
    <row r="20" spans="3:18" ht="19" x14ac:dyDescent="0.25">
      <c r="C20" s="55"/>
      <c r="D20" s="74" t="s">
        <v>474</v>
      </c>
      <c r="E20" s="74"/>
      <c r="F20" s="1" t="s">
        <v>647</v>
      </c>
      <c r="G20" s="1">
        <v>5</v>
      </c>
      <c r="H20" s="1"/>
      <c r="I20" s="1"/>
      <c r="J20" s="74"/>
      <c r="K20" s="74"/>
      <c r="L20" s="74"/>
      <c r="N20" s="3"/>
      <c r="O20" s="4"/>
      <c r="P20" s="4"/>
      <c r="Q20" s="84"/>
      <c r="R20" s="85"/>
    </row>
    <row r="21" spans="3:18" ht="19" x14ac:dyDescent="0.25">
      <c r="C21" s="55"/>
      <c r="D21" s="74" t="s">
        <v>791</v>
      </c>
      <c r="E21" s="74"/>
      <c r="F21" s="1" t="s">
        <v>647</v>
      </c>
      <c r="G21" s="1">
        <v>18</v>
      </c>
      <c r="H21" s="1"/>
      <c r="I21" s="1"/>
      <c r="J21" s="74"/>
      <c r="K21" s="74"/>
      <c r="L21" s="74"/>
      <c r="N21" s="3"/>
      <c r="O21" s="15">
        <f>SUM(O14:O20)</f>
        <v>0</v>
      </c>
      <c r="P21" s="5">
        <f>SUM(P14:P18)</f>
        <v>0</v>
      </c>
      <c r="Q21" s="86"/>
      <c r="R21" s="87"/>
    </row>
    <row r="22" spans="3:18" x14ac:dyDescent="0.2">
      <c r="C22" s="56"/>
      <c r="D22" s="74" t="s">
        <v>792</v>
      </c>
      <c r="E22" s="74"/>
      <c r="F22" s="1" t="s">
        <v>647</v>
      </c>
      <c r="G22" s="1">
        <v>11</v>
      </c>
      <c r="H22" s="57"/>
      <c r="I22" s="1"/>
      <c r="J22" s="74"/>
      <c r="K22" s="74"/>
      <c r="L22" s="74"/>
      <c r="N22" s="89"/>
      <c r="O22" s="89"/>
      <c r="P22" s="89"/>
      <c r="Q22" s="89"/>
      <c r="R22" s="89"/>
    </row>
    <row r="23" spans="3:18" x14ac:dyDescent="0.2">
      <c r="C23" s="56"/>
      <c r="D23" s="74" t="s">
        <v>793</v>
      </c>
      <c r="E23" s="74"/>
      <c r="F23" s="1" t="s">
        <v>647</v>
      </c>
      <c r="G23" s="1">
        <v>13</v>
      </c>
      <c r="H23" s="57"/>
      <c r="I23" s="1"/>
      <c r="J23" s="74"/>
      <c r="K23" s="74"/>
      <c r="L23" s="74"/>
      <c r="N23" s="90"/>
      <c r="O23" s="90"/>
      <c r="P23" s="90"/>
      <c r="Q23" s="90"/>
      <c r="R23" s="90"/>
    </row>
    <row r="24" spans="3:18" ht="19" x14ac:dyDescent="0.25">
      <c r="C24" s="56"/>
      <c r="D24" s="74" t="s">
        <v>794</v>
      </c>
      <c r="E24" s="74"/>
      <c r="F24" s="1" t="s">
        <v>647</v>
      </c>
      <c r="G24" s="1">
        <v>9.5</v>
      </c>
      <c r="H24" s="57"/>
      <c r="I24" s="1"/>
      <c r="J24" s="74"/>
      <c r="K24" s="74"/>
      <c r="L24" s="74"/>
      <c r="N24" s="81" t="s">
        <v>38</v>
      </c>
      <c r="O24" s="82"/>
      <c r="P24" s="82"/>
      <c r="Q24" s="82"/>
      <c r="R24" s="82"/>
    </row>
    <row r="25" spans="3:18" ht="19" x14ac:dyDescent="0.25">
      <c r="C25" s="56"/>
      <c r="D25" s="74" t="s">
        <v>795</v>
      </c>
      <c r="E25" s="74"/>
      <c r="F25" s="1" t="s">
        <v>647</v>
      </c>
      <c r="G25" s="1">
        <v>5</v>
      </c>
      <c r="H25" s="57"/>
      <c r="I25" s="1"/>
      <c r="J25" s="74"/>
      <c r="K25" s="74"/>
      <c r="L25" s="74"/>
      <c r="N25" s="6" t="s">
        <v>20</v>
      </c>
      <c r="O25" s="6" t="s">
        <v>32</v>
      </c>
      <c r="P25" s="6" t="s">
        <v>4</v>
      </c>
      <c r="Q25" s="77" t="s">
        <v>7</v>
      </c>
      <c r="R25" s="88"/>
    </row>
    <row r="26" spans="3:18" ht="19" x14ac:dyDescent="0.25">
      <c r="C26" s="56"/>
      <c r="D26" s="74" t="s">
        <v>796</v>
      </c>
      <c r="E26" s="74"/>
      <c r="F26" s="1" t="s">
        <v>649</v>
      </c>
      <c r="G26" s="1">
        <v>30</v>
      </c>
      <c r="H26" s="57"/>
      <c r="I26" s="1"/>
      <c r="J26" s="74" t="s">
        <v>633</v>
      </c>
      <c r="K26" s="74"/>
      <c r="L26" s="74"/>
      <c r="N26" s="13"/>
      <c r="O26" s="3"/>
      <c r="P26" s="3"/>
      <c r="Q26" s="84"/>
      <c r="R26" s="85"/>
    </row>
    <row r="27" spans="3:18" ht="19" x14ac:dyDescent="0.25">
      <c r="C27" s="56"/>
      <c r="D27" s="74" t="s">
        <v>797</v>
      </c>
      <c r="E27" s="74"/>
      <c r="F27" s="1" t="s">
        <v>798</v>
      </c>
      <c r="G27" s="1">
        <v>12</v>
      </c>
      <c r="H27" s="57"/>
      <c r="I27" s="1"/>
      <c r="J27" s="74"/>
      <c r="K27" s="74"/>
      <c r="L27" s="74"/>
      <c r="N27" s="13"/>
      <c r="O27" s="3"/>
      <c r="P27" s="3"/>
      <c r="Q27" s="84"/>
      <c r="R27" s="85"/>
    </row>
    <row r="28" spans="3:18" ht="19" x14ac:dyDescent="0.25">
      <c r="C28" s="56"/>
      <c r="D28" s="74" t="s">
        <v>799</v>
      </c>
      <c r="E28" s="74"/>
      <c r="F28" s="1" t="s">
        <v>798</v>
      </c>
      <c r="G28" s="1">
        <v>13</v>
      </c>
      <c r="H28" s="57"/>
      <c r="I28" s="1"/>
      <c r="J28" s="74"/>
      <c r="K28" s="74"/>
      <c r="L28" s="74"/>
      <c r="N28" s="3"/>
      <c r="O28" s="3"/>
      <c r="P28" s="5">
        <f>P26+P27</f>
        <v>0</v>
      </c>
      <c r="Q28" s="84"/>
      <c r="R28" s="85"/>
    </row>
    <row r="29" spans="3:18" x14ac:dyDescent="0.2">
      <c r="C29" s="56"/>
      <c r="D29" s="74" t="s">
        <v>800</v>
      </c>
      <c r="E29" s="74"/>
      <c r="F29" s="1" t="s">
        <v>651</v>
      </c>
      <c r="G29" s="1">
        <v>3</v>
      </c>
      <c r="H29" s="57"/>
      <c r="I29" s="1"/>
      <c r="J29" s="74"/>
      <c r="K29" s="74"/>
      <c r="L29" s="74"/>
      <c r="N29" s="89"/>
      <c r="O29" s="89"/>
      <c r="P29" s="89"/>
      <c r="Q29" s="89"/>
      <c r="R29" s="89"/>
    </row>
    <row r="30" spans="3:18" x14ac:dyDescent="0.2">
      <c r="C30" s="56"/>
      <c r="D30" s="74" t="s">
        <v>801</v>
      </c>
      <c r="E30" s="74"/>
      <c r="F30" s="1" t="s">
        <v>655</v>
      </c>
      <c r="G30" s="1">
        <v>7.5</v>
      </c>
      <c r="H30" s="57"/>
      <c r="I30" s="1"/>
      <c r="J30" s="74"/>
      <c r="K30" s="74"/>
      <c r="L30" s="74"/>
      <c r="N30" s="90"/>
      <c r="O30" s="90"/>
      <c r="P30" s="90"/>
      <c r="Q30" s="90"/>
      <c r="R30" s="90"/>
    </row>
    <row r="31" spans="3:18" ht="19" x14ac:dyDescent="0.25">
      <c r="C31" s="56"/>
      <c r="D31" s="74" t="s">
        <v>802</v>
      </c>
      <c r="E31" s="74"/>
      <c r="F31" s="1" t="s">
        <v>655</v>
      </c>
      <c r="G31" s="1">
        <v>4</v>
      </c>
      <c r="H31" s="57"/>
      <c r="I31" s="1"/>
      <c r="J31" s="74"/>
      <c r="K31" s="74"/>
      <c r="L31" s="74"/>
      <c r="N31" s="81" t="s">
        <v>55</v>
      </c>
      <c r="O31" s="82"/>
      <c r="P31" s="82"/>
      <c r="Q31" s="82"/>
      <c r="R31" s="83"/>
    </row>
    <row r="32" spans="3:18" ht="19" x14ac:dyDescent="0.25">
      <c r="C32" s="56"/>
      <c r="D32" s="74" t="s">
        <v>803</v>
      </c>
      <c r="E32" s="74"/>
      <c r="F32" s="1" t="s">
        <v>655</v>
      </c>
      <c r="G32" s="1">
        <v>16</v>
      </c>
      <c r="H32" s="57"/>
      <c r="I32" s="1"/>
      <c r="J32" s="74"/>
      <c r="K32" s="74"/>
      <c r="L32" s="74"/>
      <c r="M32" s="37"/>
      <c r="N32" s="6" t="s">
        <v>90</v>
      </c>
      <c r="O32" s="6" t="s">
        <v>427</v>
      </c>
      <c r="P32" s="6" t="s">
        <v>56</v>
      </c>
      <c r="Q32" s="6" t="s">
        <v>37</v>
      </c>
      <c r="R32" s="6" t="s">
        <v>400</v>
      </c>
    </row>
    <row r="33" spans="3:18" ht="19" x14ac:dyDescent="0.25">
      <c r="C33" s="56"/>
      <c r="D33" s="74" t="s">
        <v>804</v>
      </c>
      <c r="E33" s="74"/>
      <c r="F33" s="1" t="s">
        <v>655</v>
      </c>
      <c r="G33" s="1">
        <v>6</v>
      </c>
      <c r="H33" s="57"/>
      <c r="I33" s="1"/>
      <c r="J33" s="74"/>
      <c r="K33" s="74"/>
      <c r="L33" s="74"/>
      <c r="N33" s="3"/>
      <c r="O33" s="3"/>
      <c r="P33" s="3"/>
      <c r="Q33" s="5"/>
      <c r="R33" s="5"/>
    </row>
    <row r="34" spans="3:18" x14ac:dyDescent="0.2">
      <c r="C34" s="56"/>
      <c r="D34" s="74" t="s">
        <v>805</v>
      </c>
      <c r="E34" s="74"/>
      <c r="F34" s="1" t="s">
        <v>655</v>
      </c>
      <c r="G34" s="1">
        <v>17.920000000000002</v>
      </c>
      <c r="H34" s="57"/>
      <c r="I34" s="1"/>
      <c r="J34" s="74"/>
      <c r="K34" s="74"/>
      <c r="L34" s="74"/>
    </row>
    <row r="35" spans="3:18" x14ac:dyDescent="0.2">
      <c r="C35" s="56"/>
      <c r="D35" s="74" t="s">
        <v>806</v>
      </c>
      <c r="E35" s="74"/>
      <c r="F35" s="1" t="s">
        <v>655</v>
      </c>
      <c r="G35" s="1">
        <v>0</v>
      </c>
      <c r="H35" s="57"/>
      <c r="I35" s="1"/>
      <c r="J35" s="74"/>
      <c r="K35" s="74"/>
      <c r="L35" s="74"/>
    </row>
    <row r="36" spans="3:18" ht="19" x14ac:dyDescent="0.25">
      <c r="C36" s="56"/>
      <c r="D36" s="74" t="s">
        <v>807</v>
      </c>
      <c r="E36" s="74"/>
      <c r="F36" s="1" t="s">
        <v>650</v>
      </c>
      <c r="G36" s="1">
        <v>10</v>
      </c>
      <c r="H36" s="57"/>
      <c r="I36" s="1"/>
      <c r="J36" s="74" t="s">
        <v>633</v>
      </c>
      <c r="K36" s="74"/>
      <c r="L36" s="74"/>
      <c r="N36" s="81" t="s">
        <v>57</v>
      </c>
      <c r="O36" s="82"/>
      <c r="P36" s="82"/>
      <c r="Q36" s="83"/>
    </row>
    <row r="37" spans="3:18" ht="19" x14ac:dyDescent="0.25">
      <c r="C37" s="55"/>
      <c r="D37" s="74" t="s">
        <v>808</v>
      </c>
      <c r="E37" s="74"/>
      <c r="F37" s="1" t="s">
        <v>650</v>
      </c>
      <c r="G37" s="1">
        <v>12</v>
      </c>
      <c r="H37" s="1"/>
      <c r="I37" s="1"/>
      <c r="J37" s="74" t="s">
        <v>633</v>
      </c>
      <c r="K37" s="74"/>
      <c r="L37" s="74"/>
      <c r="N37" s="6" t="s">
        <v>63</v>
      </c>
      <c r="O37" s="6" t="s">
        <v>53</v>
      </c>
      <c r="P37" s="6" t="s">
        <v>400</v>
      </c>
      <c r="Q37" s="6" t="s">
        <v>456</v>
      </c>
    </row>
    <row r="38" spans="3:18" ht="19" x14ac:dyDescent="0.25">
      <c r="C38" s="55"/>
      <c r="D38" s="74" t="s">
        <v>809</v>
      </c>
      <c r="E38" s="74"/>
      <c r="F38" s="1" t="s">
        <v>650</v>
      </c>
      <c r="G38" s="1">
        <v>14</v>
      </c>
      <c r="H38" s="1"/>
      <c r="I38" s="1"/>
      <c r="J38" s="74" t="s">
        <v>633</v>
      </c>
      <c r="K38" s="74"/>
      <c r="L38" s="74"/>
      <c r="N38" s="5">
        <f>(F15+O21+G74+G99)*R3+O9+P28</f>
        <v>146991.04000000001</v>
      </c>
      <c r="O38" s="5">
        <f>G15+O9+P28+P21+H74+H99+R33</f>
        <v>0</v>
      </c>
      <c r="P38" s="5"/>
      <c r="Q38" s="5">
        <f>P38+O38</f>
        <v>0</v>
      </c>
    </row>
    <row r="39" spans="3:18" x14ac:dyDescent="0.2">
      <c r="C39" s="55"/>
      <c r="D39" s="74" t="s">
        <v>810</v>
      </c>
      <c r="E39" s="74"/>
      <c r="F39" s="1" t="s">
        <v>650</v>
      </c>
      <c r="G39" s="1">
        <v>17</v>
      </c>
      <c r="H39" s="1"/>
      <c r="I39" s="1"/>
      <c r="J39" s="74"/>
      <c r="K39" s="74"/>
      <c r="L39" s="74"/>
      <c r="N39" s="53"/>
    </row>
    <row r="40" spans="3:18" x14ac:dyDescent="0.2">
      <c r="C40" s="55"/>
      <c r="D40" s="74" t="s">
        <v>811</v>
      </c>
      <c r="E40" s="74"/>
      <c r="F40" s="1" t="s">
        <v>650</v>
      </c>
      <c r="G40" s="1">
        <v>10</v>
      </c>
      <c r="H40" s="1"/>
      <c r="I40" s="1"/>
      <c r="J40" s="74" t="s">
        <v>633</v>
      </c>
      <c r="K40" s="74"/>
      <c r="L40" s="74"/>
    </row>
    <row r="41" spans="3:18" x14ac:dyDescent="0.2">
      <c r="C41" s="55"/>
      <c r="D41" s="74" t="s">
        <v>812</v>
      </c>
      <c r="E41" s="74"/>
      <c r="F41" s="1" t="s">
        <v>650</v>
      </c>
      <c r="G41" s="1">
        <v>18</v>
      </c>
      <c r="H41" s="1"/>
      <c r="I41" s="1"/>
      <c r="J41" s="74" t="s">
        <v>633</v>
      </c>
      <c r="K41" s="74"/>
      <c r="L41" s="74"/>
    </row>
    <row r="42" spans="3:18" x14ac:dyDescent="0.2">
      <c r="C42" s="55"/>
      <c r="D42" s="74" t="s">
        <v>813</v>
      </c>
      <c r="E42" s="74"/>
      <c r="F42" s="1" t="s">
        <v>650</v>
      </c>
      <c r="G42" s="1">
        <v>12</v>
      </c>
      <c r="H42" s="1"/>
      <c r="I42" s="1"/>
      <c r="J42" s="74" t="s">
        <v>633</v>
      </c>
      <c r="K42" s="74"/>
      <c r="L42" s="74"/>
    </row>
    <row r="43" spans="3:18" x14ac:dyDescent="0.2">
      <c r="C43" s="55"/>
      <c r="D43" s="74" t="s">
        <v>814</v>
      </c>
      <c r="E43" s="74"/>
      <c r="F43" s="1" t="s">
        <v>643</v>
      </c>
      <c r="G43" s="1">
        <v>19</v>
      </c>
      <c r="H43" s="1"/>
      <c r="I43" s="1"/>
      <c r="J43" s="74" t="s">
        <v>633</v>
      </c>
      <c r="K43" s="74"/>
      <c r="L43" s="74"/>
    </row>
    <row r="44" spans="3:18" x14ac:dyDescent="0.2">
      <c r="C44" s="56"/>
      <c r="D44" s="74" t="s">
        <v>815</v>
      </c>
      <c r="E44" s="74"/>
      <c r="F44" s="1" t="s">
        <v>643</v>
      </c>
      <c r="G44" s="1">
        <v>17</v>
      </c>
      <c r="H44" s="57"/>
      <c r="I44" s="1"/>
      <c r="J44" s="74" t="s">
        <v>633</v>
      </c>
      <c r="K44" s="74"/>
      <c r="L44" s="74"/>
    </row>
    <row r="45" spans="3:18" x14ac:dyDescent="0.2">
      <c r="C45" s="56"/>
      <c r="D45" s="74" t="s">
        <v>816</v>
      </c>
      <c r="E45" s="74"/>
      <c r="F45" s="1" t="s">
        <v>643</v>
      </c>
      <c r="G45" s="1">
        <v>14</v>
      </c>
      <c r="H45" s="57"/>
      <c r="I45" s="1"/>
      <c r="J45" s="74" t="s">
        <v>633</v>
      </c>
      <c r="K45" s="74"/>
      <c r="L45" s="74"/>
    </row>
    <row r="46" spans="3:18" x14ac:dyDescent="0.2">
      <c r="C46" s="56"/>
      <c r="D46" s="74" t="s">
        <v>817</v>
      </c>
      <c r="E46" s="74"/>
      <c r="F46" s="1" t="s">
        <v>643</v>
      </c>
      <c r="G46" s="1">
        <v>15</v>
      </c>
      <c r="H46" s="57"/>
      <c r="I46" s="1"/>
      <c r="J46" s="74"/>
      <c r="K46" s="74"/>
      <c r="L46" s="74"/>
    </row>
    <row r="47" spans="3:18" x14ac:dyDescent="0.2">
      <c r="C47" s="56"/>
      <c r="D47" s="74" t="s">
        <v>818</v>
      </c>
      <c r="E47" s="74"/>
      <c r="F47" s="1" t="s">
        <v>643</v>
      </c>
      <c r="G47" s="1">
        <v>13</v>
      </c>
      <c r="H47" s="57"/>
      <c r="I47" s="1"/>
      <c r="J47" s="74"/>
      <c r="K47" s="74"/>
      <c r="L47" s="74"/>
    </row>
    <row r="48" spans="3:18" x14ac:dyDescent="0.2">
      <c r="C48" s="56"/>
      <c r="D48" s="74" t="s">
        <v>819</v>
      </c>
      <c r="E48" s="74"/>
      <c r="F48" s="1" t="s">
        <v>643</v>
      </c>
      <c r="G48" s="1">
        <v>16</v>
      </c>
      <c r="H48" s="57"/>
      <c r="I48" s="1"/>
      <c r="J48" s="74"/>
      <c r="K48" s="74"/>
      <c r="L48" s="74"/>
    </row>
    <row r="49" spans="3:12" x14ac:dyDescent="0.2">
      <c r="C49" s="55"/>
      <c r="D49" s="74" t="s">
        <v>820</v>
      </c>
      <c r="E49" s="74"/>
      <c r="F49" s="1" t="s">
        <v>821</v>
      </c>
      <c r="G49" s="1">
        <v>19.5</v>
      </c>
      <c r="H49" s="1"/>
      <c r="I49" s="1"/>
      <c r="J49" s="74" t="s">
        <v>633</v>
      </c>
      <c r="K49" s="74"/>
      <c r="L49" s="74"/>
    </row>
    <row r="50" spans="3:12" x14ac:dyDescent="0.2">
      <c r="C50" s="56"/>
      <c r="D50" s="74" t="s">
        <v>822</v>
      </c>
      <c r="E50" s="74"/>
      <c r="F50" s="1" t="s">
        <v>641</v>
      </c>
      <c r="G50" s="1">
        <v>15</v>
      </c>
      <c r="H50" s="57"/>
      <c r="I50" s="1"/>
      <c r="J50" s="74" t="s">
        <v>633</v>
      </c>
      <c r="K50" s="74"/>
      <c r="L50" s="74"/>
    </row>
    <row r="51" spans="3:12" x14ac:dyDescent="0.2">
      <c r="C51" s="56"/>
      <c r="D51" s="74" t="s">
        <v>823</v>
      </c>
      <c r="E51" s="74"/>
      <c r="F51" s="1" t="s">
        <v>641</v>
      </c>
      <c r="G51" s="1">
        <v>10</v>
      </c>
      <c r="H51" s="57"/>
      <c r="I51" s="1"/>
      <c r="J51" s="74"/>
      <c r="K51" s="74"/>
      <c r="L51" s="74"/>
    </row>
    <row r="52" spans="3:12" x14ac:dyDescent="0.2">
      <c r="C52" s="56"/>
      <c r="D52" s="74" t="s">
        <v>824</v>
      </c>
      <c r="E52" s="74"/>
      <c r="F52" s="1" t="s">
        <v>641</v>
      </c>
      <c r="G52" s="1">
        <v>15</v>
      </c>
      <c r="H52" s="57"/>
      <c r="I52" s="1"/>
      <c r="J52" s="74" t="s">
        <v>633</v>
      </c>
      <c r="K52" s="74"/>
      <c r="L52" s="74"/>
    </row>
    <row r="53" spans="3:12" x14ac:dyDescent="0.2">
      <c r="C53" s="56"/>
      <c r="D53" s="74" t="s">
        <v>825</v>
      </c>
      <c r="E53" s="74"/>
      <c r="F53" s="1" t="s">
        <v>641</v>
      </c>
      <c r="G53" s="1">
        <v>17</v>
      </c>
      <c r="H53" s="57"/>
      <c r="I53" s="1"/>
      <c r="J53" s="74"/>
      <c r="K53" s="74"/>
      <c r="L53" s="74"/>
    </row>
    <row r="54" spans="3:12" x14ac:dyDescent="0.2">
      <c r="C54" s="56"/>
      <c r="D54" s="74" t="s">
        <v>826</v>
      </c>
      <c r="E54" s="74"/>
      <c r="F54" s="1" t="s">
        <v>641</v>
      </c>
      <c r="G54" s="1">
        <v>15</v>
      </c>
      <c r="H54" s="57"/>
      <c r="I54" s="1"/>
      <c r="J54" s="74"/>
      <c r="K54" s="74"/>
      <c r="L54" s="74"/>
    </row>
    <row r="55" spans="3:12" x14ac:dyDescent="0.2">
      <c r="C55" s="56"/>
      <c r="D55" s="74" t="s">
        <v>827</v>
      </c>
      <c r="E55" s="74"/>
      <c r="F55" s="1" t="s">
        <v>641</v>
      </c>
      <c r="G55" s="1">
        <v>22</v>
      </c>
      <c r="H55" s="57"/>
      <c r="I55" s="1"/>
      <c r="J55" s="74"/>
      <c r="K55" s="74"/>
      <c r="L55" s="74"/>
    </row>
    <row r="56" spans="3:12" x14ac:dyDescent="0.2">
      <c r="C56" s="56"/>
      <c r="D56" s="74" t="s">
        <v>828</v>
      </c>
      <c r="E56" s="74"/>
      <c r="F56" s="1" t="s">
        <v>641</v>
      </c>
      <c r="G56" s="1">
        <v>15</v>
      </c>
      <c r="H56" s="57"/>
      <c r="I56" s="1"/>
      <c r="J56" s="74" t="s">
        <v>633</v>
      </c>
      <c r="K56" s="74"/>
      <c r="L56" s="74"/>
    </row>
    <row r="57" spans="3:12" x14ac:dyDescent="0.2">
      <c r="C57" s="56"/>
      <c r="D57" s="74" t="s">
        <v>829</v>
      </c>
      <c r="E57" s="74"/>
      <c r="F57" s="1" t="s">
        <v>641</v>
      </c>
      <c r="G57" s="1">
        <v>16</v>
      </c>
      <c r="H57" s="57"/>
      <c r="I57" s="1"/>
      <c r="J57" s="74"/>
      <c r="K57" s="74"/>
      <c r="L57" s="74"/>
    </row>
    <row r="58" spans="3:12" x14ac:dyDescent="0.2">
      <c r="C58" s="56"/>
      <c r="D58" s="74" t="s">
        <v>830</v>
      </c>
      <c r="E58" s="74"/>
      <c r="F58" s="1" t="s">
        <v>641</v>
      </c>
      <c r="G58" s="1">
        <v>8</v>
      </c>
      <c r="H58" s="57"/>
      <c r="I58" s="1"/>
      <c r="J58" s="74" t="s">
        <v>633</v>
      </c>
      <c r="K58" s="74"/>
      <c r="L58" s="74"/>
    </row>
    <row r="59" spans="3:12" x14ac:dyDescent="0.2">
      <c r="C59" s="56"/>
      <c r="D59" s="74" t="s">
        <v>831</v>
      </c>
      <c r="E59" s="74"/>
      <c r="F59" s="1" t="s">
        <v>645</v>
      </c>
      <c r="G59" s="1">
        <v>10</v>
      </c>
      <c r="H59" s="57"/>
      <c r="I59" s="1"/>
      <c r="J59" s="74" t="s">
        <v>633</v>
      </c>
      <c r="K59" s="74"/>
      <c r="L59" s="74"/>
    </row>
    <row r="60" spans="3:12" x14ac:dyDescent="0.2">
      <c r="C60" s="56"/>
      <c r="D60" s="74" t="s">
        <v>832</v>
      </c>
      <c r="E60" s="74"/>
      <c r="F60" s="1" t="s">
        <v>645</v>
      </c>
      <c r="G60" s="1">
        <v>12</v>
      </c>
      <c r="H60" s="57"/>
      <c r="I60" s="1"/>
      <c r="J60" s="74" t="s">
        <v>633</v>
      </c>
      <c r="K60" s="74"/>
      <c r="L60" s="74"/>
    </row>
    <row r="61" spans="3:12" x14ac:dyDescent="0.2">
      <c r="C61" s="56"/>
      <c r="D61" s="74" t="s">
        <v>833</v>
      </c>
      <c r="E61" s="74"/>
      <c r="F61" s="1" t="s">
        <v>645</v>
      </c>
      <c r="G61" s="1">
        <v>12</v>
      </c>
      <c r="H61" s="57"/>
      <c r="I61" s="1"/>
      <c r="J61" s="74" t="s">
        <v>633</v>
      </c>
      <c r="K61" s="74"/>
      <c r="L61" s="74"/>
    </row>
    <row r="62" spans="3:12" x14ac:dyDescent="0.2">
      <c r="C62" s="56"/>
      <c r="D62" s="74" t="s">
        <v>834</v>
      </c>
      <c r="E62" s="74"/>
      <c r="F62" s="1" t="s">
        <v>645</v>
      </c>
      <c r="G62" s="1">
        <v>5</v>
      </c>
      <c r="H62" s="57"/>
      <c r="I62" s="1"/>
      <c r="J62" s="74"/>
      <c r="K62" s="74"/>
      <c r="L62" s="74"/>
    </row>
    <row r="63" spans="3:12" x14ac:dyDescent="0.2">
      <c r="C63" s="56"/>
      <c r="D63" s="74" t="s">
        <v>835</v>
      </c>
      <c r="E63" s="74"/>
      <c r="F63" s="1" t="s">
        <v>645</v>
      </c>
      <c r="G63" s="1">
        <v>12</v>
      </c>
      <c r="H63" s="57"/>
      <c r="I63" s="1"/>
      <c r="J63" s="74" t="s">
        <v>633</v>
      </c>
      <c r="K63" s="74"/>
      <c r="L63" s="74"/>
    </row>
    <row r="64" spans="3:12" x14ac:dyDescent="0.2">
      <c r="C64" s="56"/>
      <c r="D64" s="74" t="s">
        <v>836</v>
      </c>
      <c r="E64" s="74"/>
      <c r="F64" s="1" t="s">
        <v>645</v>
      </c>
      <c r="G64" s="1">
        <v>20</v>
      </c>
      <c r="H64" s="57"/>
      <c r="I64" s="1"/>
      <c r="J64" s="74" t="s">
        <v>633</v>
      </c>
      <c r="K64" s="74"/>
      <c r="L64" s="74"/>
    </row>
    <row r="65" spans="3:12" x14ac:dyDescent="0.2">
      <c r="C65" s="56"/>
      <c r="D65" s="74" t="s">
        <v>837</v>
      </c>
      <c r="E65" s="74"/>
      <c r="F65" s="1" t="s">
        <v>645</v>
      </c>
      <c r="G65" s="1">
        <v>10</v>
      </c>
      <c r="H65" s="57"/>
      <c r="I65" s="1"/>
      <c r="J65" s="74" t="s">
        <v>633</v>
      </c>
      <c r="K65" s="74"/>
      <c r="L65" s="74"/>
    </row>
    <row r="66" spans="3:12" x14ac:dyDescent="0.2">
      <c r="C66" s="56"/>
      <c r="D66" s="74" t="s">
        <v>838</v>
      </c>
      <c r="E66" s="74"/>
      <c r="F66" s="1" t="s">
        <v>645</v>
      </c>
      <c r="G66" s="1">
        <v>5</v>
      </c>
      <c r="H66" s="57"/>
      <c r="I66" s="1"/>
      <c r="J66" s="74" t="s">
        <v>633</v>
      </c>
      <c r="K66" s="74"/>
      <c r="L66" s="74"/>
    </row>
    <row r="67" spans="3:12" x14ac:dyDescent="0.2">
      <c r="C67" s="56"/>
      <c r="D67" s="74" t="s">
        <v>839</v>
      </c>
      <c r="E67" s="74"/>
      <c r="F67" s="1" t="s">
        <v>645</v>
      </c>
      <c r="G67" s="1">
        <v>12</v>
      </c>
      <c r="H67" s="57"/>
      <c r="I67" s="1"/>
      <c r="J67" s="74" t="s">
        <v>633</v>
      </c>
      <c r="K67" s="74"/>
      <c r="L67" s="74"/>
    </row>
    <row r="68" spans="3:12" x14ac:dyDescent="0.2">
      <c r="C68" s="56"/>
      <c r="D68" s="67"/>
      <c r="E68" s="68"/>
      <c r="F68" s="57"/>
      <c r="G68" s="57"/>
      <c r="H68" s="57"/>
      <c r="I68" s="57"/>
      <c r="J68" s="74"/>
      <c r="K68" s="74"/>
      <c r="L68" s="74"/>
    </row>
    <row r="69" spans="3:12" x14ac:dyDescent="0.2">
      <c r="C69" s="56"/>
      <c r="D69" s="67"/>
      <c r="E69" s="68"/>
      <c r="F69" s="57"/>
      <c r="G69" s="57"/>
      <c r="H69" s="57"/>
      <c r="I69" s="57"/>
      <c r="J69" s="74"/>
      <c r="K69" s="74"/>
      <c r="L69" s="74"/>
    </row>
    <row r="70" spans="3:12" x14ac:dyDescent="0.2">
      <c r="C70" s="56"/>
      <c r="D70" s="67"/>
      <c r="E70" s="68"/>
      <c r="F70" s="57"/>
      <c r="G70" s="57"/>
      <c r="H70" s="57"/>
      <c r="I70" s="57"/>
      <c r="J70" s="74"/>
      <c r="K70" s="74"/>
      <c r="L70" s="74"/>
    </row>
    <row r="71" spans="3:12" x14ac:dyDescent="0.2">
      <c r="C71" s="55"/>
      <c r="D71" s="79"/>
      <c r="E71" s="80"/>
      <c r="F71" s="1"/>
      <c r="G71" s="1"/>
      <c r="H71" s="1"/>
      <c r="I71" s="57"/>
      <c r="J71" s="74"/>
      <c r="K71" s="74"/>
      <c r="L71" s="74"/>
    </row>
    <row r="72" spans="3:12" x14ac:dyDescent="0.2">
      <c r="C72" s="56"/>
      <c r="D72" s="67"/>
      <c r="E72" s="68"/>
      <c r="F72" s="57"/>
      <c r="G72" s="57"/>
      <c r="H72" s="57"/>
      <c r="I72" s="57"/>
      <c r="J72" s="74"/>
      <c r="K72" s="74"/>
      <c r="L72" s="74"/>
    </row>
    <row r="73" spans="3:12" ht="19" x14ac:dyDescent="0.25">
      <c r="C73" s="1"/>
      <c r="D73" s="79"/>
      <c r="E73" s="80"/>
      <c r="F73" s="3"/>
      <c r="G73" s="4"/>
      <c r="H73" s="4"/>
      <c r="I73" s="3"/>
      <c r="J73" s="150"/>
      <c r="K73" s="99"/>
      <c r="L73" s="100"/>
    </row>
    <row r="74" spans="3:12" ht="19" x14ac:dyDescent="0.25">
      <c r="C74" s="1"/>
      <c r="D74" s="79"/>
      <c r="E74" s="80"/>
      <c r="F74" s="14"/>
      <c r="G74" s="4">
        <f>SUM(G20:G72)</f>
        <v>608.42000000000007</v>
      </c>
      <c r="H74" s="5">
        <f>SUM(H20:H72)</f>
        <v>0</v>
      </c>
      <c r="I74" s="3">
        <f>SUM(I20:I72)</f>
        <v>0</v>
      </c>
      <c r="J74" s="151"/>
      <c r="K74" s="101"/>
      <c r="L74" s="102"/>
    </row>
    <row r="75" spans="3:12" x14ac:dyDescent="0.2">
      <c r="C75" s="89"/>
      <c r="D75" s="89"/>
      <c r="E75" s="89"/>
      <c r="F75" s="89"/>
      <c r="G75" s="89"/>
      <c r="H75" s="89"/>
      <c r="I75" s="89"/>
      <c r="J75" s="89"/>
      <c r="K75" s="89"/>
      <c r="L75" s="89"/>
    </row>
    <row r="76" spans="3:12" x14ac:dyDescent="0.2">
      <c r="C76" s="90"/>
      <c r="D76" s="90"/>
      <c r="E76" s="90"/>
      <c r="F76" s="90"/>
      <c r="G76" s="90"/>
      <c r="H76" s="90"/>
      <c r="I76" s="90"/>
      <c r="J76" s="90"/>
      <c r="K76" s="90"/>
      <c r="L76" s="90"/>
    </row>
    <row r="77" spans="3:12" ht="19" x14ac:dyDescent="0.25">
      <c r="C77" s="81" t="s">
        <v>33</v>
      </c>
      <c r="D77" s="82"/>
      <c r="E77" s="82"/>
      <c r="F77" s="82"/>
      <c r="G77" s="82"/>
      <c r="H77" s="82"/>
      <c r="I77" s="82"/>
      <c r="J77" s="82"/>
      <c r="K77" s="82"/>
      <c r="L77" s="83"/>
    </row>
    <row r="78" spans="3:12" ht="19" x14ac:dyDescent="0.25">
      <c r="C78" s="6" t="s">
        <v>20</v>
      </c>
      <c r="D78" s="6" t="s">
        <v>65</v>
      </c>
      <c r="E78" s="6" t="s">
        <v>66</v>
      </c>
      <c r="F78" s="6" t="s">
        <v>196</v>
      </c>
      <c r="G78" s="6" t="s">
        <v>230</v>
      </c>
      <c r="H78" s="6" t="s">
        <v>53</v>
      </c>
      <c r="I78" s="6" t="s">
        <v>195</v>
      </c>
      <c r="J78" s="116" t="s">
        <v>7</v>
      </c>
      <c r="K78" s="117"/>
      <c r="L78" s="149"/>
    </row>
    <row r="79" spans="3:12" x14ac:dyDescent="0.2">
      <c r="C79" s="27"/>
      <c r="D79" s="1" t="s">
        <v>647</v>
      </c>
      <c r="E79" s="1" t="s">
        <v>649</v>
      </c>
      <c r="F79" s="1"/>
      <c r="G79" s="1"/>
      <c r="H79" s="1"/>
      <c r="I79" s="1"/>
      <c r="J79" s="74"/>
      <c r="K79" s="74"/>
      <c r="L79" s="74"/>
    </row>
    <row r="80" spans="3:12" x14ac:dyDescent="0.2">
      <c r="C80" s="27"/>
      <c r="D80" s="1" t="s">
        <v>649</v>
      </c>
      <c r="E80" s="1" t="s">
        <v>798</v>
      </c>
      <c r="F80" s="1"/>
      <c r="G80" s="1"/>
      <c r="H80" s="1"/>
      <c r="I80" s="1"/>
      <c r="J80" s="74"/>
      <c r="K80" s="74"/>
      <c r="L80" s="74"/>
    </row>
    <row r="81" spans="3:12" x14ac:dyDescent="0.2">
      <c r="C81" s="27"/>
      <c r="D81" s="1" t="s">
        <v>798</v>
      </c>
      <c r="E81" s="1" t="s">
        <v>649</v>
      </c>
      <c r="F81" s="1"/>
      <c r="G81" s="1"/>
      <c r="H81" s="1"/>
      <c r="I81" s="1"/>
      <c r="J81" s="74"/>
      <c r="K81" s="74"/>
      <c r="L81" s="74"/>
    </row>
    <row r="82" spans="3:12" x14ac:dyDescent="0.2">
      <c r="C82" s="27"/>
      <c r="D82" s="1" t="s">
        <v>649</v>
      </c>
      <c r="E82" s="1" t="s">
        <v>651</v>
      </c>
      <c r="F82" s="1"/>
      <c r="G82" s="1"/>
      <c r="H82" s="1"/>
      <c r="I82" s="1"/>
      <c r="J82" s="74"/>
      <c r="K82" s="74"/>
      <c r="L82" s="74"/>
    </row>
    <row r="83" spans="3:12" x14ac:dyDescent="0.2">
      <c r="C83" s="27"/>
      <c r="D83" s="1" t="s">
        <v>651</v>
      </c>
      <c r="E83" s="1" t="s">
        <v>655</v>
      </c>
      <c r="F83" s="1"/>
      <c r="G83" s="1"/>
      <c r="H83" s="1"/>
      <c r="I83" s="1"/>
      <c r="J83" s="74"/>
      <c r="K83" s="74"/>
      <c r="L83" s="74"/>
    </row>
    <row r="84" spans="3:12" x14ac:dyDescent="0.2">
      <c r="C84" s="27"/>
      <c r="D84" s="1" t="s">
        <v>655</v>
      </c>
      <c r="E84" s="1" t="s">
        <v>651</v>
      </c>
      <c r="F84" s="1"/>
      <c r="G84" s="1"/>
      <c r="H84" s="1"/>
      <c r="I84" s="1"/>
      <c r="J84" s="74"/>
      <c r="K84" s="74"/>
      <c r="L84" s="74"/>
    </row>
    <row r="85" spans="3:12" x14ac:dyDescent="0.2">
      <c r="C85" s="27"/>
      <c r="D85" s="1" t="s">
        <v>651</v>
      </c>
      <c r="E85" s="1" t="s">
        <v>650</v>
      </c>
      <c r="F85" s="1"/>
      <c r="G85" s="1"/>
      <c r="H85" s="1"/>
      <c r="I85" s="1"/>
      <c r="J85" s="74"/>
      <c r="K85" s="74"/>
      <c r="L85" s="74"/>
    </row>
    <row r="86" spans="3:12" x14ac:dyDescent="0.2">
      <c r="C86" s="27"/>
      <c r="D86" s="1" t="s">
        <v>650</v>
      </c>
      <c r="E86" s="1" t="s">
        <v>643</v>
      </c>
      <c r="F86" s="1"/>
      <c r="G86" s="1"/>
      <c r="H86" s="1"/>
      <c r="I86" s="1"/>
      <c r="J86" s="74"/>
      <c r="K86" s="74"/>
      <c r="L86" s="74"/>
    </row>
    <row r="87" spans="3:12" x14ac:dyDescent="0.2">
      <c r="C87" s="27"/>
      <c r="D87" s="1" t="s">
        <v>643</v>
      </c>
      <c r="E87" s="1" t="s">
        <v>821</v>
      </c>
      <c r="F87" s="1"/>
      <c r="G87" s="1"/>
      <c r="H87" s="1"/>
      <c r="I87" s="1"/>
      <c r="J87" s="74"/>
      <c r="K87" s="74"/>
      <c r="L87" s="74"/>
    </row>
    <row r="88" spans="3:12" x14ac:dyDescent="0.2">
      <c r="C88" s="27"/>
      <c r="D88" s="1" t="s">
        <v>821</v>
      </c>
      <c r="E88" s="1" t="s">
        <v>643</v>
      </c>
      <c r="F88" s="1"/>
      <c r="G88" s="1"/>
      <c r="H88" s="1"/>
      <c r="I88" s="1"/>
      <c r="J88" s="74"/>
      <c r="K88" s="74"/>
      <c r="L88" s="74"/>
    </row>
    <row r="89" spans="3:12" x14ac:dyDescent="0.2">
      <c r="C89" s="27"/>
      <c r="D89" s="1" t="s">
        <v>643</v>
      </c>
      <c r="E89" s="1" t="s">
        <v>641</v>
      </c>
      <c r="F89" s="1"/>
      <c r="G89" s="1"/>
      <c r="H89" s="1"/>
      <c r="I89" s="1"/>
      <c r="J89" s="74"/>
      <c r="K89" s="74"/>
      <c r="L89" s="74"/>
    </row>
    <row r="90" spans="3:12" x14ac:dyDescent="0.2">
      <c r="C90" s="27"/>
      <c r="D90" s="1" t="s">
        <v>641</v>
      </c>
      <c r="E90" s="1" t="s">
        <v>645</v>
      </c>
      <c r="F90" s="1"/>
      <c r="G90" s="1"/>
      <c r="H90" s="1"/>
      <c r="I90" s="1"/>
      <c r="J90" s="74"/>
      <c r="K90" s="74"/>
      <c r="L90" s="74"/>
    </row>
    <row r="91" spans="3:12" x14ac:dyDescent="0.2">
      <c r="C91" s="27"/>
      <c r="D91" s="1"/>
      <c r="E91" s="1"/>
      <c r="F91" s="1"/>
      <c r="G91" s="1"/>
      <c r="H91" s="1"/>
      <c r="I91" s="1"/>
      <c r="J91" s="74"/>
      <c r="K91" s="74"/>
      <c r="L91" s="74"/>
    </row>
    <row r="92" spans="3:12" x14ac:dyDescent="0.2">
      <c r="C92" s="1"/>
      <c r="D92" s="1"/>
      <c r="E92" s="1"/>
      <c r="F92" s="1"/>
      <c r="G92" s="1"/>
      <c r="H92" s="1"/>
      <c r="I92" s="1"/>
      <c r="J92" s="74"/>
      <c r="K92" s="74"/>
      <c r="L92" s="74"/>
    </row>
    <row r="93" spans="3:12" x14ac:dyDescent="0.2">
      <c r="C93" s="1"/>
      <c r="D93" s="1"/>
      <c r="E93" s="1"/>
      <c r="F93" s="1"/>
      <c r="G93" s="1"/>
      <c r="H93" s="1"/>
      <c r="I93" s="1"/>
      <c r="J93" s="74"/>
      <c r="K93" s="74"/>
      <c r="L93" s="74"/>
    </row>
    <row r="94" spans="3:12" x14ac:dyDescent="0.2">
      <c r="C94" s="1"/>
      <c r="D94" s="1"/>
      <c r="E94" s="1"/>
      <c r="F94" s="1"/>
      <c r="G94" s="1"/>
      <c r="H94" s="1"/>
      <c r="I94" s="1"/>
      <c r="J94" s="74"/>
      <c r="K94" s="74"/>
      <c r="L94" s="74"/>
    </row>
    <row r="95" spans="3:12" x14ac:dyDescent="0.2">
      <c r="C95" s="1"/>
      <c r="D95" s="1"/>
      <c r="E95" s="1"/>
      <c r="F95" s="1"/>
      <c r="G95" s="1"/>
      <c r="H95" s="1"/>
      <c r="I95" s="1"/>
      <c r="J95" s="74"/>
      <c r="K95" s="74"/>
      <c r="L95" s="74"/>
    </row>
    <row r="96" spans="3:12" x14ac:dyDescent="0.2">
      <c r="C96" s="1"/>
      <c r="D96" s="1"/>
      <c r="E96" s="1"/>
      <c r="F96" s="1"/>
      <c r="G96" s="1"/>
      <c r="H96" s="1"/>
      <c r="I96" s="1"/>
      <c r="J96" s="74"/>
      <c r="K96" s="74"/>
      <c r="L96" s="74"/>
    </row>
    <row r="97" spans="3:12" x14ac:dyDescent="0.2">
      <c r="C97" s="1"/>
      <c r="D97" s="1"/>
      <c r="E97" s="1"/>
      <c r="F97" s="1"/>
      <c r="G97" s="1"/>
      <c r="H97" s="1"/>
      <c r="I97" s="1"/>
      <c r="J97" s="74"/>
      <c r="K97" s="74"/>
      <c r="L97" s="74"/>
    </row>
    <row r="98" spans="3:12" x14ac:dyDescent="0.2">
      <c r="C98" s="1"/>
      <c r="D98" s="1"/>
      <c r="E98" s="1"/>
      <c r="F98" s="1"/>
      <c r="G98" s="1"/>
      <c r="H98" s="1"/>
      <c r="I98" s="1"/>
      <c r="J98" s="74"/>
      <c r="K98" s="74"/>
      <c r="L98" s="74"/>
    </row>
    <row r="99" spans="3:12" ht="19" x14ac:dyDescent="0.25">
      <c r="C99" s="13"/>
      <c r="D99" s="3"/>
      <c r="E99" s="1"/>
      <c r="F99" s="3"/>
      <c r="G99" s="4">
        <f>SUM(G79:G97)</f>
        <v>0</v>
      </c>
      <c r="H99" s="5">
        <f>SUM(H79:H97)</f>
        <v>0</v>
      </c>
      <c r="I99" s="3"/>
      <c r="J99" s="75"/>
      <c r="K99" s="75"/>
      <c r="L99" s="75"/>
    </row>
    <row r="100" spans="3:12" x14ac:dyDescent="0.2">
      <c r="D100" s="38"/>
      <c r="E100" s="38"/>
      <c r="F100" s="38"/>
      <c r="G100" s="38"/>
      <c r="H100" s="38"/>
      <c r="I100" s="38"/>
      <c r="J100" s="38"/>
      <c r="K100" s="38"/>
      <c r="L100" s="38"/>
    </row>
  </sheetData>
  <mergeCells count="172">
    <mergeCell ref="J94:L94"/>
    <mergeCell ref="J95:L95"/>
    <mergeCell ref="J96:L96"/>
    <mergeCell ref="J97:L97"/>
    <mergeCell ref="J98:L98"/>
    <mergeCell ref="J99:L99"/>
    <mergeCell ref="J88:L88"/>
    <mergeCell ref="J89:L89"/>
    <mergeCell ref="J90:L90"/>
    <mergeCell ref="J91:L91"/>
    <mergeCell ref="J92:L92"/>
    <mergeCell ref="J93:L93"/>
    <mergeCell ref="J82:L82"/>
    <mergeCell ref="J83:L83"/>
    <mergeCell ref="J84:L84"/>
    <mergeCell ref="J85:L85"/>
    <mergeCell ref="J86:L86"/>
    <mergeCell ref="J87:L87"/>
    <mergeCell ref="C75:L76"/>
    <mergeCell ref="C77:L77"/>
    <mergeCell ref="J78:L78"/>
    <mergeCell ref="J79:L79"/>
    <mergeCell ref="J80:L80"/>
    <mergeCell ref="J81:L81"/>
    <mergeCell ref="D72:E72"/>
    <mergeCell ref="J72:L72"/>
    <mergeCell ref="D73:E73"/>
    <mergeCell ref="J73:L73"/>
    <mergeCell ref="D74:E74"/>
    <mergeCell ref="J74:L74"/>
    <mergeCell ref="D69:E69"/>
    <mergeCell ref="J69:L69"/>
    <mergeCell ref="D70:E70"/>
    <mergeCell ref="J70:L70"/>
    <mergeCell ref="D71:E71"/>
    <mergeCell ref="J71:L71"/>
    <mergeCell ref="D68:E68"/>
    <mergeCell ref="J68:L68"/>
    <mergeCell ref="D65:E65"/>
    <mergeCell ref="J65:L65"/>
    <mergeCell ref="D66:E66"/>
    <mergeCell ref="J66:L66"/>
    <mergeCell ref="D67:E67"/>
    <mergeCell ref="J67:L67"/>
    <mergeCell ref="D62:E62"/>
    <mergeCell ref="J62:L62"/>
    <mergeCell ref="D63:E63"/>
    <mergeCell ref="J63:L63"/>
    <mergeCell ref="D64:E64"/>
    <mergeCell ref="J64:L64"/>
    <mergeCell ref="D59:E59"/>
    <mergeCell ref="J59:L59"/>
    <mergeCell ref="D60:E60"/>
    <mergeCell ref="J60:L60"/>
    <mergeCell ref="D61:E61"/>
    <mergeCell ref="J61:L61"/>
    <mergeCell ref="D56:E56"/>
    <mergeCell ref="J56:L56"/>
    <mergeCell ref="D57:E57"/>
    <mergeCell ref="J57:L57"/>
    <mergeCell ref="D58:E58"/>
    <mergeCell ref="J58:L58"/>
    <mergeCell ref="D53:E53"/>
    <mergeCell ref="J53:L53"/>
    <mergeCell ref="D54:E54"/>
    <mergeCell ref="J54:L54"/>
    <mergeCell ref="D55:E55"/>
    <mergeCell ref="J55:L55"/>
    <mergeCell ref="D50:E50"/>
    <mergeCell ref="J50:L50"/>
    <mergeCell ref="D51:E51"/>
    <mergeCell ref="J51:L51"/>
    <mergeCell ref="D52:E52"/>
    <mergeCell ref="J52:L52"/>
    <mergeCell ref="D47:E47"/>
    <mergeCell ref="J47:L47"/>
    <mergeCell ref="D48:E48"/>
    <mergeCell ref="J48:L48"/>
    <mergeCell ref="D49:E49"/>
    <mergeCell ref="J49:L49"/>
    <mergeCell ref="D44:E44"/>
    <mergeCell ref="J44:L44"/>
    <mergeCell ref="D45:E45"/>
    <mergeCell ref="J45:L45"/>
    <mergeCell ref="D46:E46"/>
    <mergeCell ref="J46:L46"/>
    <mergeCell ref="D41:E41"/>
    <mergeCell ref="J41:L41"/>
    <mergeCell ref="D42:E42"/>
    <mergeCell ref="J42:L42"/>
    <mergeCell ref="D43:E43"/>
    <mergeCell ref="J43:L43"/>
    <mergeCell ref="D38:E38"/>
    <mergeCell ref="J38:L38"/>
    <mergeCell ref="D39:E39"/>
    <mergeCell ref="J39:L39"/>
    <mergeCell ref="D40:E40"/>
    <mergeCell ref="J40:L40"/>
    <mergeCell ref="D35:E35"/>
    <mergeCell ref="J35:L35"/>
    <mergeCell ref="D36:E36"/>
    <mergeCell ref="J36:L36"/>
    <mergeCell ref="N36:Q36"/>
    <mergeCell ref="D37:E37"/>
    <mergeCell ref="J37:L37"/>
    <mergeCell ref="D32:E32"/>
    <mergeCell ref="J32:L32"/>
    <mergeCell ref="D33:E33"/>
    <mergeCell ref="J33:L33"/>
    <mergeCell ref="D34:E34"/>
    <mergeCell ref="J34:L34"/>
    <mergeCell ref="D29:E29"/>
    <mergeCell ref="J29:L29"/>
    <mergeCell ref="N29:R30"/>
    <mergeCell ref="D30:E30"/>
    <mergeCell ref="J30:L30"/>
    <mergeCell ref="D31:E31"/>
    <mergeCell ref="J31:L31"/>
    <mergeCell ref="N31:R31"/>
    <mergeCell ref="D27:E27"/>
    <mergeCell ref="J27:L27"/>
    <mergeCell ref="Q27:R27"/>
    <mergeCell ref="D28:E28"/>
    <mergeCell ref="J28:L28"/>
    <mergeCell ref="Q28:R28"/>
    <mergeCell ref="D25:E25"/>
    <mergeCell ref="J25:L25"/>
    <mergeCell ref="Q25:R25"/>
    <mergeCell ref="D26:E26"/>
    <mergeCell ref="J26:L26"/>
    <mergeCell ref="Q26:R26"/>
    <mergeCell ref="D22:E22"/>
    <mergeCell ref="J22:L22"/>
    <mergeCell ref="N22:R23"/>
    <mergeCell ref="D23:E23"/>
    <mergeCell ref="J23:L23"/>
    <mergeCell ref="D24:E24"/>
    <mergeCell ref="J24:L24"/>
    <mergeCell ref="N24:R24"/>
    <mergeCell ref="D20:E20"/>
    <mergeCell ref="J20:L20"/>
    <mergeCell ref="Q20:R20"/>
    <mergeCell ref="D21:E21"/>
    <mergeCell ref="J21:L21"/>
    <mergeCell ref="Q21:R21"/>
    <mergeCell ref="C16:L17"/>
    <mergeCell ref="Q16:R16"/>
    <mergeCell ref="Q17:R17"/>
    <mergeCell ref="C18:L18"/>
    <mergeCell ref="Q18:R18"/>
    <mergeCell ref="D19:E19"/>
    <mergeCell ref="J19:L19"/>
    <mergeCell ref="Q19:R19"/>
    <mergeCell ref="I14:K14"/>
    <mergeCell ref="Q14:R14"/>
    <mergeCell ref="I15:K15"/>
    <mergeCell ref="Q15:R15"/>
    <mergeCell ref="I7:K7"/>
    <mergeCell ref="I8:K8"/>
    <mergeCell ref="I9:K9"/>
    <mergeCell ref="I10:K10"/>
    <mergeCell ref="I11:K11"/>
    <mergeCell ref="I12:K12"/>
    <mergeCell ref="B2:L2"/>
    <mergeCell ref="N2:P2"/>
    <mergeCell ref="I3:K3"/>
    <mergeCell ref="I4:K4"/>
    <mergeCell ref="I5:K5"/>
    <mergeCell ref="I6:K6"/>
    <mergeCell ref="N12:R12"/>
    <mergeCell ref="I13:K13"/>
    <mergeCell ref="Q13:R13"/>
  </mergeCells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CF1B-1425-ED46-ADA5-2BB400036D51}">
  <dimension ref="B2:R61"/>
  <sheetViews>
    <sheetView topLeftCell="A11" zoomScale="110" zoomScaleNormal="110" workbookViewId="0">
      <selection activeCell="J34" sqref="J34:L34"/>
    </sheetView>
  </sheetViews>
  <sheetFormatPr baseColWidth="10" defaultRowHeight="16" x14ac:dyDescent="0.2"/>
  <cols>
    <col min="2" max="2" width="10.83203125" customWidth="1"/>
    <col min="3" max="3" width="11" bestFit="1" customWidth="1"/>
    <col min="4" max="4" width="14.5" customWidth="1"/>
    <col min="5" max="5" width="17.33203125" bestFit="1" customWidth="1"/>
    <col min="6" max="6" width="11.33203125" bestFit="1" customWidth="1"/>
    <col min="7" max="7" width="12.1640625" bestFit="1" customWidth="1"/>
    <col min="8" max="8" width="11.33203125" bestFit="1" customWidth="1"/>
    <col min="9" max="9" width="13.5" bestFit="1" customWidth="1"/>
    <col min="10" max="10" width="11.6640625" bestFit="1" customWidth="1"/>
    <col min="11" max="11" width="15.5" bestFit="1" customWidth="1"/>
    <col min="12" max="12" width="13.1640625" bestFit="1" customWidth="1"/>
    <col min="13" max="13" width="7.33203125" customWidth="1"/>
    <col min="14" max="14" width="14.33203125" bestFit="1" customWidth="1"/>
    <col min="15" max="15" width="12.5" bestFit="1" customWidth="1"/>
    <col min="16" max="16" width="12" bestFit="1" customWidth="1"/>
    <col min="17" max="17" width="10.1640625" customWidth="1"/>
  </cols>
  <sheetData>
    <row r="2" spans="2:18" ht="19" x14ac:dyDescent="0.25">
      <c r="B2" s="97" t="s">
        <v>67</v>
      </c>
      <c r="C2" s="97"/>
      <c r="D2" s="97"/>
      <c r="E2" s="97"/>
      <c r="F2" s="97"/>
      <c r="G2" s="97"/>
      <c r="H2" s="97"/>
      <c r="I2" s="97"/>
      <c r="J2" s="97"/>
      <c r="K2" s="97"/>
      <c r="L2" s="97"/>
      <c r="N2" s="81" t="s">
        <v>44</v>
      </c>
      <c r="O2" s="82"/>
      <c r="P2" s="83"/>
      <c r="R2" s="34" t="s">
        <v>338</v>
      </c>
    </row>
    <row r="3" spans="2:18" ht="19" x14ac:dyDescent="0.25">
      <c r="B3" s="6" t="s">
        <v>0</v>
      </c>
      <c r="C3" s="6" t="s">
        <v>1</v>
      </c>
      <c r="D3" s="6" t="s">
        <v>21</v>
      </c>
      <c r="E3" s="6" t="s">
        <v>3</v>
      </c>
      <c r="F3" s="6" t="s">
        <v>230</v>
      </c>
      <c r="G3" s="6" t="s">
        <v>53</v>
      </c>
      <c r="H3" s="10" t="s">
        <v>444</v>
      </c>
      <c r="I3" s="92" t="s">
        <v>445</v>
      </c>
      <c r="J3" s="92"/>
      <c r="K3" s="92"/>
      <c r="L3" s="6" t="s">
        <v>5</v>
      </c>
      <c r="N3" s="6" t="s">
        <v>45</v>
      </c>
      <c r="O3" s="6" t="s">
        <v>4</v>
      </c>
      <c r="P3" s="6" t="s">
        <v>7</v>
      </c>
      <c r="R3" s="33">
        <v>112</v>
      </c>
    </row>
    <row r="4" spans="2:18" ht="19" x14ac:dyDescent="0.25">
      <c r="B4" s="59"/>
      <c r="C4" s="60"/>
      <c r="D4" s="61"/>
      <c r="E4" s="61"/>
      <c r="F4" s="61"/>
      <c r="G4" s="61"/>
      <c r="H4" s="62"/>
      <c r="I4" s="154"/>
      <c r="J4" s="155"/>
      <c r="K4" s="156"/>
      <c r="L4" s="61"/>
      <c r="N4" s="3"/>
      <c r="O4" s="3"/>
      <c r="P4" s="3"/>
    </row>
    <row r="5" spans="2:18" ht="19" x14ac:dyDescent="0.25">
      <c r="B5" s="63"/>
      <c r="C5" s="64"/>
      <c r="D5" s="65"/>
      <c r="E5" s="65"/>
      <c r="F5" s="65"/>
      <c r="G5" s="65"/>
      <c r="H5" s="66"/>
      <c r="I5" s="154"/>
      <c r="J5" s="155"/>
      <c r="K5" s="156"/>
      <c r="L5" s="65"/>
      <c r="N5" s="3"/>
      <c r="O5" s="3"/>
      <c r="P5" s="3"/>
    </row>
    <row r="6" spans="2:18" ht="19" x14ac:dyDescent="0.25">
      <c r="B6" s="63"/>
      <c r="C6" s="64"/>
      <c r="D6" s="65"/>
      <c r="E6" s="65"/>
      <c r="F6" s="65"/>
      <c r="G6" s="65"/>
      <c r="H6" s="66"/>
      <c r="I6" s="154"/>
      <c r="J6" s="155"/>
      <c r="K6" s="156"/>
      <c r="L6" s="65"/>
      <c r="N6" s="3"/>
      <c r="O6" s="3"/>
      <c r="P6" s="3"/>
    </row>
    <row r="7" spans="2:18" ht="19" x14ac:dyDescent="0.25">
      <c r="B7" s="63"/>
      <c r="C7" s="64"/>
      <c r="D7" s="65"/>
      <c r="E7" s="65"/>
      <c r="F7" s="65"/>
      <c r="G7" s="65"/>
      <c r="H7" s="66"/>
      <c r="I7" s="145"/>
      <c r="J7" s="146"/>
      <c r="K7" s="147"/>
      <c r="L7" s="65"/>
      <c r="N7" s="3"/>
      <c r="O7" s="3"/>
      <c r="P7" s="1"/>
    </row>
    <row r="8" spans="2:18" ht="19" x14ac:dyDescent="0.25">
      <c r="B8" s="63"/>
      <c r="C8" s="64"/>
      <c r="D8" s="65"/>
      <c r="E8" s="65"/>
      <c r="F8" s="65"/>
      <c r="G8" s="65"/>
      <c r="H8" s="66"/>
      <c r="I8" s="145"/>
      <c r="J8" s="146"/>
      <c r="K8" s="147"/>
      <c r="L8" s="65"/>
      <c r="N8" s="3"/>
      <c r="O8" s="3"/>
      <c r="P8" s="1"/>
    </row>
    <row r="9" spans="2:18" ht="19" x14ac:dyDescent="0.25">
      <c r="B9" s="13"/>
      <c r="C9" s="13"/>
      <c r="D9" s="3"/>
      <c r="E9" s="3"/>
      <c r="F9" s="3"/>
      <c r="G9" s="3"/>
      <c r="H9" s="50"/>
      <c r="I9" s="93"/>
      <c r="J9" s="94"/>
      <c r="K9" s="108"/>
      <c r="L9" s="3"/>
      <c r="N9" s="1"/>
      <c r="O9" s="5">
        <f>SUM(O4:O8)</f>
        <v>0</v>
      </c>
      <c r="P9" s="1"/>
    </row>
    <row r="10" spans="2:18" ht="19" x14ac:dyDescent="0.25">
      <c r="B10" s="13"/>
      <c r="C10" s="13"/>
      <c r="D10" s="3"/>
      <c r="E10" s="3"/>
      <c r="F10" s="3"/>
      <c r="G10" s="3"/>
      <c r="H10" s="50"/>
      <c r="I10" s="113"/>
      <c r="J10" s="114"/>
      <c r="K10" s="115"/>
      <c r="L10" s="3"/>
    </row>
    <row r="11" spans="2:18" ht="19" x14ac:dyDescent="0.25">
      <c r="B11" s="2"/>
      <c r="C11" s="2"/>
      <c r="D11" s="3"/>
      <c r="E11" s="3"/>
      <c r="F11" s="3">
        <f>SUM(F4:F9)</f>
        <v>0</v>
      </c>
      <c r="G11" s="5">
        <f>SUM(G4:G9)</f>
        <v>0</v>
      </c>
      <c r="H11" s="50" t="e">
        <f>F11/L11</f>
        <v>#DIV/0!</v>
      </c>
      <c r="I11" s="95"/>
      <c r="J11" s="95"/>
      <c r="K11" s="95"/>
      <c r="L11" s="3">
        <f>SUM(L4:L9)</f>
        <v>0</v>
      </c>
    </row>
    <row r="12" spans="2:18" ht="19" x14ac:dyDescent="0.25">
      <c r="B12" s="38"/>
      <c r="C12" s="89"/>
      <c r="D12" s="89"/>
      <c r="E12" s="89"/>
      <c r="F12" s="89"/>
      <c r="G12" s="89"/>
      <c r="H12" s="89"/>
      <c r="I12" s="89"/>
      <c r="J12" s="89"/>
      <c r="K12" s="89"/>
      <c r="L12" s="89"/>
      <c r="N12" s="81" t="s">
        <v>69</v>
      </c>
      <c r="O12" s="82"/>
      <c r="P12" s="82"/>
      <c r="Q12" s="82"/>
      <c r="R12" s="83"/>
    </row>
    <row r="13" spans="2:18" ht="19" x14ac:dyDescent="0.25">
      <c r="C13" s="90"/>
      <c r="D13" s="90"/>
      <c r="E13" s="90"/>
      <c r="F13" s="90"/>
      <c r="G13" s="90"/>
      <c r="H13" s="90"/>
      <c r="I13" s="90"/>
      <c r="J13" s="90"/>
      <c r="K13" s="90"/>
      <c r="L13" s="90"/>
      <c r="N13" s="6" t="s">
        <v>45</v>
      </c>
      <c r="O13" s="6" t="s">
        <v>359</v>
      </c>
      <c r="P13" s="6" t="s">
        <v>53</v>
      </c>
      <c r="Q13" s="77" t="s">
        <v>7</v>
      </c>
      <c r="R13" s="78"/>
    </row>
    <row r="14" spans="2:18" ht="19" x14ac:dyDescent="0.25">
      <c r="C14" s="96" t="s">
        <v>68</v>
      </c>
      <c r="D14" s="96"/>
      <c r="E14" s="96"/>
      <c r="F14" s="96"/>
      <c r="G14" s="96"/>
      <c r="H14" s="96"/>
      <c r="I14" s="96"/>
      <c r="J14" s="96"/>
      <c r="K14" s="96"/>
      <c r="L14" s="96"/>
      <c r="N14" s="3"/>
      <c r="O14" s="3"/>
      <c r="P14" s="3"/>
      <c r="Q14" s="84"/>
      <c r="R14" s="85"/>
    </row>
    <row r="15" spans="2:18" ht="19" x14ac:dyDescent="0.25">
      <c r="C15" s="12" t="s">
        <v>20</v>
      </c>
      <c r="D15" s="98" t="s">
        <v>2</v>
      </c>
      <c r="E15" s="98"/>
      <c r="F15" s="12" t="s">
        <v>21</v>
      </c>
      <c r="G15" s="12" t="s">
        <v>230</v>
      </c>
      <c r="H15" s="12" t="s">
        <v>53</v>
      </c>
      <c r="I15" s="6" t="s">
        <v>853</v>
      </c>
      <c r="J15" s="88" t="s">
        <v>7</v>
      </c>
      <c r="K15" s="88"/>
      <c r="L15" s="78"/>
      <c r="N15" s="3"/>
      <c r="O15" s="3"/>
      <c r="P15" s="3"/>
      <c r="Q15" s="84"/>
      <c r="R15" s="85"/>
    </row>
    <row r="16" spans="2:18" ht="19" x14ac:dyDescent="0.25">
      <c r="C16" s="55"/>
      <c r="D16" s="74" t="s">
        <v>768</v>
      </c>
      <c r="E16" s="74"/>
      <c r="F16" s="1" t="s">
        <v>769</v>
      </c>
      <c r="G16" s="1">
        <v>10</v>
      </c>
      <c r="H16" s="1"/>
      <c r="I16" s="1"/>
      <c r="J16" s="74"/>
      <c r="K16" s="74"/>
      <c r="L16" s="74"/>
      <c r="N16" s="3"/>
      <c r="O16" s="3"/>
      <c r="P16" s="3"/>
      <c r="Q16" s="84"/>
      <c r="R16" s="85"/>
    </row>
    <row r="17" spans="3:18" ht="19" x14ac:dyDescent="0.25">
      <c r="C17" s="55"/>
      <c r="D17" s="74" t="s">
        <v>771</v>
      </c>
      <c r="E17" s="74"/>
      <c r="F17" s="1" t="s">
        <v>770</v>
      </c>
      <c r="G17" s="1">
        <v>24</v>
      </c>
      <c r="H17" s="1"/>
      <c r="I17" s="1"/>
      <c r="J17" s="74"/>
      <c r="K17" s="74"/>
      <c r="L17" s="74"/>
      <c r="N17" s="3"/>
      <c r="O17" s="3"/>
      <c r="P17" s="3"/>
      <c r="Q17" s="84"/>
      <c r="R17" s="85"/>
    </row>
    <row r="18" spans="3:18" ht="19" x14ac:dyDescent="0.25">
      <c r="C18" s="56"/>
      <c r="D18" s="74" t="s">
        <v>772</v>
      </c>
      <c r="E18" s="74"/>
      <c r="F18" s="1" t="s">
        <v>770</v>
      </c>
      <c r="G18" s="1">
        <v>12</v>
      </c>
      <c r="H18" s="57"/>
      <c r="I18" s="1"/>
      <c r="J18" s="74"/>
      <c r="K18" s="74"/>
      <c r="L18" s="74"/>
      <c r="N18" s="3"/>
      <c r="O18" s="3"/>
      <c r="P18" s="3"/>
      <c r="Q18" s="84"/>
      <c r="R18" s="85"/>
    </row>
    <row r="19" spans="3:18" ht="19" x14ac:dyDescent="0.25">
      <c r="C19" s="56"/>
      <c r="D19" s="74" t="s">
        <v>773</v>
      </c>
      <c r="E19" s="74"/>
      <c r="F19" s="1" t="s">
        <v>774</v>
      </c>
      <c r="G19" s="1">
        <v>6</v>
      </c>
      <c r="H19" s="57"/>
      <c r="I19" s="1"/>
      <c r="J19" s="74"/>
      <c r="K19" s="74"/>
      <c r="L19" s="74"/>
      <c r="N19" s="3"/>
      <c r="O19" s="3"/>
      <c r="P19" s="3"/>
      <c r="Q19" s="84"/>
      <c r="R19" s="85"/>
    </row>
    <row r="20" spans="3:18" ht="19" x14ac:dyDescent="0.25">
      <c r="C20" s="56"/>
      <c r="D20" s="74" t="s">
        <v>634</v>
      </c>
      <c r="E20" s="74"/>
      <c r="F20" s="1" t="s">
        <v>775</v>
      </c>
      <c r="G20" s="1">
        <v>11</v>
      </c>
      <c r="H20" s="57"/>
      <c r="I20" s="1"/>
      <c r="J20" s="74"/>
      <c r="K20" s="74"/>
      <c r="L20" s="74"/>
      <c r="N20" s="3"/>
      <c r="O20" s="4"/>
      <c r="P20" s="4"/>
      <c r="Q20" s="84"/>
      <c r="R20" s="85"/>
    </row>
    <row r="21" spans="3:18" ht="19" x14ac:dyDescent="0.25">
      <c r="C21" s="56"/>
      <c r="D21" s="74" t="s">
        <v>776</v>
      </c>
      <c r="E21" s="74"/>
      <c r="F21" s="1" t="s">
        <v>775</v>
      </c>
      <c r="G21" s="1">
        <v>22</v>
      </c>
      <c r="H21" s="57"/>
      <c r="I21" s="1"/>
      <c r="J21" s="74"/>
      <c r="K21" s="74"/>
      <c r="L21" s="74"/>
      <c r="N21" s="3"/>
      <c r="O21" s="15">
        <f>SUM(O14:O20)</f>
        <v>0</v>
      </c>
      <c r="P21" s="5">
        <f>SUM(P14:P18)</f>
        <v>0</v>
      </c>
      <c r="Q21" s="86"/>
      <c r="R21" s="87"/>
    </row>
    <row r="22" spans="3:18" x14ac:dyDescent="0.2">
      <c r="C22" s="56"/>
      <c r="D22" s="74" t="s">
        <v>777</v>
      </c>
      <c r="E22" s="74"/>
      <c r="F22" s="1" t="s">
        <v>778</v>
      </c>
      <c r="G22" s="1">
        <v>14</v>
      </c>
      <c r="H22" s="57"/>
      <c r="I22" s="1"/>
      <c r="J22" s="74"/>
      <c r="K22" s="74"/>
      <c r="L22" s="74"/>
      <c r="N22" s="89"/>
      <c r="O22" s="89"/>
      <c r="P22" s="89"/>
      <c r="Q22" s="89"/>
      <c r="R22" s="89"/>
    </row>
    <row r="23" spans="3:18" x14ac:dyDescent="0.2">
      <c r="C23" s="56"/>
      <c r="D23" s="74" t="s">
        <v>779</v>
      </c>
      <c r="E23" s="74"/>
      <c r="F23" s="1" t="s">
        <v>778</v>
      </c>
      <c r="G23" s="1">
        <v>7.9</v>
      </c>
      <c r="H23" s="57"/>
      <c r="I23" s="1"/>
      <c r="J23" s="74"/>
      <c r="K23" s="74"/>
      <c r="L23" s="74"/>
      <c r="N23" s="90"/>
      <c r="O23" s="90"/>
      <c r="P23" s="90"/>
      <c r="Q23" s="90"/>
      <c r="R23" s="90"/>
    </row>
    <row r="24" spans="3:18" ht="19" x14ac:dyDescent="0.25">
      <c r="C24" s="56"/>
      <c r="D24" s="74" t="s">
        <v>780</v>
      </c>
      <c r="E24" s="74"/>
      <c r="F24" s="1" t="s">
        <v>778</v>
      </c>
      <c r="G24" s="1">
        <v>2.5</v>
      </c>
      <c r="H24" s="57"/>
      <c r="I24" s="1"/>
      <c r="J24" s="74"/>
      <c r="K24" s="74"/>
      <c r="L24" s="74"/>
      <c r="N24" s="81" t="s">
        <v>38</v>
      </c>
      <c r="O24" s="82"/>
      <c r="P24" s="82"/>
      <c r="Q24" s="82"/>
      <c r="R24" s="82"/>
    </row>
    <row r="25" spans="3:18" ht="19" x14ac:dyDescent="0.25">
      <c r="C25" s="56"/>
      <c r="D25" s="74" t="s">
        <v>781</v>
      </c>
      <c r="E25" s="74"/>
      <c r="F25" s="1" t="s">
        <v>778</v>
      </c>
      <c r="G25" s="1">
        <v>14</v>
      </c>
      <c r="H25" s="57"/>
      <c r="I25" s="1"/>
      <c r="J25" s="74"/>
      <c r="K25" s="74"/>
      <c r="L25" s="74"/>
      <c r="N25" s="6" t="s">
        <v>20</v>
      </c>
      <c r="O25" s="6" t="s">
        <v>32</v>
      </c>
      <c r="P25" s="6" t="s">
        <v>4</v>
      </c>
      <c r="Q25" s="77" t="s">
        <v>7</v>
      </c>
      <c r="R25" s="88"/>
    </row>
    <row r="26" spans="3:18" ht="19" x14ac:dyDescent="0.25">
      <c r="C26" s="56"/>
      <c r="D26" s="74" t="s">
        <v>782</v>
      </c>
      <c r="E26" s="74"/>
      <c r="F26" s="1" t="s">
        <v>778</v>
      </c>
      <c r="G26" s="1">
        <v>10</v>
      </c>
      <c r="H26" s="57"/>
      <c r="I26" s="1"/>
      <c r="J26" s="74"/>
      <c r="K26" s="74"/>
      <c r="L26" s="74"/>
      <c r="N26" s="13"/>
      <c r="O26" s="3"/>
      <c r="P26" s="3"/>
      <c r="Q26" s="84"/>
      <c r="R26" s="85"/>
    </row>
    <row r="27" spans="3:18" ht="19" x14ac:dyDescent="0.25">
      <c r="C27" s="56"/>
      <c r="D27" s="74" t="s">
        <v>783</v>
      </c>
      <c r="E27" s="74"/>
      <c r="F27" s="1" t="s">
        <v>778</v>
      </c>
      <c r="G27" s="1">
        <v>6</v>
      </c>
      <c r="H27" s="57"/>
      <c r="I27" s="1"/>
      <c r="J27" s="74"/>
      <c r="K27" s="74"/>
      <c r="L27" s="74"/>
      <c r="N27" s="13"/>
      <c r="O27" s="3"/>
      <c r="P27" s="3"/>
      <c r="Q27" s="84"/>
      <c r="R27" s="85"/>
    </row>
    <row r="28" spans="3:18" ht="19" x14ac:dyDescent="0.25">
      <c r="C28" s="56"/>
      <c r="D28" s="74" t="s">
        <v>784</v>
      </c>
      <c r="E28" s="74"/>
      <c r="F28" s="1" t="s">
        <v>785</v>
      </c>
      <c r="G28" s="1">
        <v>6</v>
      </c>
      <c r="H28" s="57"/>
      <c r="I28" s="1"/>
      <c r="J28" s="74"/>
      <c r="K28" s="74"/>
      <c r="L28" s="74"/>
      <c r="N28" s="3"/>
      <c r="O28" s="3"/>
      <c r="P28" s="5">
        <f>P26+P27</f>
        <v>0</v>
      </c>
      <c r="Q28" s="84"/>
      <c r="R28" s="85"/>
    </row>
    <row r="29" spans="3:18" x14ac:dyDescent="0.2">
      <c r="C29" s="56"/>
      <c r="D29" s="74" t="s">
        <v>786</v>
      </c>
      <c r="E29" s="74"/>
      <c r="F29" s="1" t="s">
        <v>785</v>
      </c>
      <c r="G29" s="1">
        <v>6</v>
      </c>
      <c r="H29" s="57"/>
      <c r="I29" s="1"/>
      <c r="J29" s="74"/>
      <c r="K29" s="74"/>
      <c r="L29" s="74"/>
      <c r="N29" s="89"/>
      <c r="O29" s="89"/>
      <c r="P29" s="89"/>
      <c r="Q29" s="89"/>
      <c r="R29" s="89"/>
    </row>
    <row r="30" spans="3:18" x14ac:dyDescent="0.2">
      <c r="C30" s="56"/>
      <c r="D30" s="74" t="s">
        <v>787</v>
      </c>
      <c r="E30" s="74"/>
      <c r="F30" s="1" t="s">
        <v>785</v>
      </c>
      <c r="G30" s="1">
        <v>6</v>
      </c>
      <c r="H30" s="57"/>
      <c r="I30" s="1"/>
      <c r="J30" s="74"/>
      <c r="K30" s="74"/>
      <c r="L30" s="74"/>
      <c r="N30" s="90"/>
      <c r="O30" s="90"/>
      <c r="P30" s="90"/>
      <c r="Q30" s="90"/>
      <c r="R30" s="90"/>
    </row>
    <row r="31" spans="3:18" ht="19" x14ac:dyDescent="0.25">
      <c r="C31" s="56"/>
      <c r="D31" s="74" t="s">
        <v>788</v>
      </c>
      <c r="E31" s="74"/>
      <c r="F31" s="1" t="s">
        <v>785</v>
      </c>
      <c r="G31" s="1">
        <v>6</v>
      </c>
      <c r="H31" s="57"/>
      <c r="I31" s="1"/>
      <c r="J31" s="74"/>
      <c r="K31" s="74"/>
      <c r="L31" s="74"/>
      <c r="N31" s="81" t="s">
        <v>55</v>
      </c>
      <c r="O31" s="82"/>
      <c r="P31" s="82"/>
      <c r="Q31" s="82"/>
      <c r="R31" s="83"/>
    </row>
    <row r="32" spans="3:18" ht="19" x14ac:dyDescent="0.25">
      <c r="C32" s="56"/>
      <c r="D32" s="74" t="s">
        <v>789</v>
      </c>
      <c r="E32" s="74"/>
      <c r="F32" s="1" t="s">
        <v>785</v>
      </c>
      <c r="G32" s="1">
        <v>10</v>
      </c>
      <c r="H32" s="57"/>
      <c r="I32" s="1"/>
      <c r="J32" s="74"/>
      <c r="K32" s="74"/>
      <c r="L32" s="74"/>
      <c r="M32" s="37"/>
      <c r="N32" s="6" t="s">
        <v>90</v>
      </c>
      <c r="O32" s="6" t="s">
        <v>427</v>
      </c>
      <c r="P32" s="6" t="s">
        <v>56</v>
      </c>
      <c r="Q32" s="6" t="s">
        <v>37</v>
      </c>
      <c r="R32" s="6" t="s">
        <v>400</v>
      </c>
    </row>
    <row r="33" spans="3:18" ht="19" x14ac:dyDescent="0.25">
      <c r="C33" s="55"/>
      <c r="D33" s="74" t="s">
        <v>790</v>
      </c>
      <c r="E33" s="74"/>
      <c r="F33" s="3" t="s">
        <v>785</v>
      </c>
      <c r="G33" s="4">
        <v>5.5</v>
      </c>
      <c r="H33" s="1"/>
      <c r="I33" s="1"/>
      <c r="J33" s="74"/>
      <c r="K33" s="74"/>
      <c r="L33" s="74"/>
      <c r="N33" s="3"/>
      <c r="O33" s="3"/>
      <c r="P33" s="3"/>
      <c r="Q33" s="5"/>
      <c r="R33" s="5"/>
    </row>
    <row r="34" spans="3:18" x14ac:dyDescent="0.2">
      <c r="C34" s="55"/>
      <c r="D34" s="74"/>
      <c r="E34" s="74"/>
      <c r="F34" s="1"/>
      <c r="G34" s="1"/>
      <c r="H34" s="1"/>
      <c r="I34" s="1"/>
      <c r="J34" s="74"/>
      <c r="K34" s="74"/>
      <c r="L34" s="74"/>
    </row>
    <row r="35" spans="3:18" x14ac:dyDescent="0.2">
      <c r="C35" s="55"/>
      <c r="D35" s="74"/>
      <c r="E35" s="74"/>
      <c r="F35" s="1"/>
      <c r="G35" s="1"/>
      <c r="H35" s="1"/>
      <c r="I35" s="1"/>
      <c r="J35" s="74"/>
      <c r="K35" s="74"/>
      <c r="L35" s="74"/>
    </row>
    <row r="36" spans="3:18" ht="19" x14ac:dyDescent="0.25">
      <c r="C36" s="55"/>
      <c r="D36" s="74"/>
      <c r="E36" s="74"/>
      <c r="F36" s="1"/>
      <c r="G36" s="1"/>
      <c r="H36" s="1"/>
      <c r="I36" s="1"/>
      <c r="J36" s="74"/>
      <c r="K36" s="74"/>
      <c r="L36" s="74"/>
      <c r="N36" s="81" t="s">
        <v>57</v>
      </c>
      <c r="O36" s="82"/>
      <c r="P36" s="82"/>
      <c r="Q36" s="83"/>
    </row>
    <row r="37" spans="3:18" ht="19" x14ac:dyDescent="0.25">
      <c r="C37" s="56"/>
      <c r="D37" s="79"/>
      <c r="E37" s="80"/>
      <c r="F37" s="1"/>
      <c r="G37" s="1"/>
      <c r="H37" s="57"/>
      <c r="I37" s="1"/>
      <c r="J37" s="74"/>
      <c r="K37" s="74"/>
      <c r="L37" s="74"/>
      <c r="N37" s="6" t="s">
        <v>63</v>
      </c>
      <c r="O37" s="6" t="s">
        <v>53</v>
      </c>
      <c r="P37" s="6" t="s">
        <v>400</v>
      </c>
      <c r="Q37" s="6" t="s">
        <v>456</v>
      </c>
    </row>
    <row r="38" spans="3:18" ht="19" x14ac:dyDescent="0.25">
      <c r="C38" s="55"/>
      <c r="D38" s="79"/>
      <c r="E38" s="80"/>
      <c r="F38" s="1"/>
      <c r="G38" s="1"/>
      <c r="H38" s="1"/>
      <c r="I38" s="57"/>
      <c r="J38" s="74"/>
      <c r="K38" s="74"/>
      <c r="L38" s="74"/>
      <c r="N38" s="5">
        <f>(F11+O21+G41+G60)*R3+O9+P28</f>
        <v>20036.8</v>
      </c>
      <c r="O38" s="5">
        <f>G11+O9+P28+P21+H41+H60+R33</f>
        <v>0</v>
      </c>
      <c r="P38" s="5"/>
      <c r="Q38" s="5">
        <f>P38+O38</f>
        <v>0</v>
      </c>
    </row>
    <row r="39" spans="3:18" x14ac:dyDescent="0.2">
      <c r="C39" s="56"/>
      <c r="D39" s="67"/>
      <c r="E39" s="68"/>
      <c r="F39" s="57"/>
      <c r="G39" s="57"/>
      <c r="H39" s="57"/>
      <c r="I39" s="57"/>
      <c r="J39" s="74"/>
      <c r="K39" s="74"/>
      <c r="L39" s="74"/>
      <c r="N39" s="53"/>
    </row>
    <row r="40" spans="3:18" ht="19" x14ac:dyDescent="0.25">
      <c r="C40" s="1"/>
      <c r="D40" s="79"/>
      <c r="E40" s="80"/>
      <c r="F40" s="3"/>
      <c r="G40" s="4"/>
      <c r="H40" s="4"/>
      <c r="I40" s="3"/>
      <c r="J40" s="150"/>
      <c r="K40" s="99"/>
      <c r="L40" s="100"/>
    </row>
    <row r="41" spans="3:18" ht="19" x14ac:dyDescent="0.25">
      <c r="C41" s="1"/>
      <c r="D41" s="79"/>
      <c r="E41" s="80"/>
      <c r="F41" s="14"/>
      <c r="G41" s="4">
        <f>SUM(G16:G39)</f>
        <v>178.9</v>
      </c>
      <c r="H41" s="5">
        <f>SUM(H16:H39)</f>
        <v>0</v>
      </c>
      <c r="I41" s="3">
        <f>SUM(I16:I39)</f>
        <v>0</v>
      </c>
      <c r="J41" s="151"/>
      <c r="K41" s="101"/>
      <c r="L41" s="102"/>
    </row>
    <row r="42" spans="3:18" x14ac:dyDescent="0.2">
      <c r="C42" s="89"/>
      <c r="D42" s="89"/>
      <c r="E42" s="89"/>
      <c r="F42" s="89"/>
      <c r="G42" s="89"/>
      <c r="H42" s="89"/>
      <c r="I42" s="89"/>
      <c r="J42" s="89"/>
      <c r="K42" s="89"/>
      <c r="L42" s="89"/>
    </row>
    <row r="43" spans="3:18" x14ac:dyDescent="0.2">
      <c r="C43" s="90"/>
      <c r="D43" s="90"/>
      <c r="E43" s="90"/>
      <c r="F43" s="90"/>
      <c r="G43" s="90"/>
      <c r="H43" s="90"/>
      <c r="I43" s="90"/>
      <c r="J43" s="90"/>
      <c r="K43" s="90"/>
      <c r="L43" s="90"/>
    </row>
    <row r="44" spans="3:18" ht="19" x14ac:dyDescent="0.25">
      <c r="C44" s="81" t="s">
        <v>33</v>
      </c>
      <c r="D44" s="82"/>
      <c r="E44" s="82"/>
      <c r="F44" s="82"/>
      <c r="G44" s="82"/>
      <c r="H44" s="82"/>
      <c r="I44" s="82"/>
      <c r="J44" s="82"/>
      <c r="K44" s="82"/>
      <c r="L44" s="83"/>
    </row>
    <row r="45" spans="3:18" ht="19" x14ac:dyDescent="0.25">
      <c r="C45" s="6" t="s">
        <v>20</v>
      </c>
      <c r="D45" s="6" t="s">
        <v>65</v>
      </c>
      <c r="E45" s="6" t="s">
        <v>66</v>
      </c>
      <c r="F45" s="6" t="s">
        <v>196</v>
      </c>
      <c r="G45" s="6" t="s">
        <v>230</v>
      </c>
      <c r="H45" s="6" t="s">
        <v>53</v>
      </c>
      <c r="I45" s="6" t="s">
        <v>195</v>
      </c>
      <c r="J45" s="116" t="s">
        <v>7</v>
      </c>
      <c r="K45" s="117"/>
      <c r="L45" s="149"/>
    </row>
    <row r="46" spans="3:18" x14ac:dyDescent="0.2">
      <c r="C46" s="1"/>
      <c r="D46" s="1"/>
      <c r="E46" s="1"/>
      <c r="F46" s="1"/>
      <c r="G46" s="1"/>
      <c r="H46" s="1"/>
      <c r="I46" s="1"/>
      <c r="J46" s="74"/>
      <c r="K46" s="74"/>
      <c r="L46" s="74"/>
    </row>
    <row r="47" spans="3:18" x14ac:dyDescent="0.2">
      <c r="C47" s="1"/>
      <c r="D47" s="1"/>
      <c r="E47" s="1"/>
      <c r="F47" s="1"/>
      <c r="G47" s="1"/>
      <c r="H47" s="1"/>
      <c r="I47" s="1"/>
      <c r="J47" s="74"/>
      <c r="K47" s="74"/>
      <c r="L47" s="74"/>
    </row>
    <row r="48" spans="3:18" x14ac:dyDescent="0.2">
      <c r="C48" s="1"/>
      <c r="D48" s="1"/>
      <c r="E48" s="1"/>
      <c r="F48" s="1"/>
      <c r="G48" s="1"/>
      <c r="H48" s="1"/>
      <c r="I48" s="1"/>
      <c r="J48" s="74"/>
      <c r="K48" s="74"/>
      <c r="L48" s="74"/>
    </row>
    <row r="49" spans="3:12" x14ac:dyDescent="0.2">
      <c r="C49" s="1"/>
      <c r="D49" s="1"/>
      <c r="E49" s="1"/>
      <c r="F49" s="1"/>
      <c r="G49" s="1"/>
      <c r="H49" s="1"/>
      <c r="I49" s="1"/>
      <c r="J49" s="74"/>
      <c r="K49" s="74"/>
      <c r="L49" s="74"/>
    </row>
    <row r="50" spans="3:12" x14ac:dyDescent="0.2">
      <c r="C50" s="1"/>
      <c r="D50" s="1"/>
      <c r="E50" s="1"/>
      <c r="F50" s="1"/>
      <c r="G50" s="1"/>
      <c r="H50" s="1"/>
      <c r="I50" s="1"/>
      <c r="J50" s="74"/>
      <c r="K50" s="74"/>
      <c r="L50" s="74"/>
    </row>
    <row r="51" spans="3:12" x14ac:dyDescent="0.2">
      <c r="C51" s="1"/>
      <c r="D51" s="1"/>
      <c r="E51" s="1"/>
      <c r="F51" s="1"/>
      <c r="G51" s="1"/>
      <c r="H51" s="1"/>
      <c r="I51" s="1"/>
      <c r="J51" s="74"/>
      <c r="K51" s="74"/>
      <c r="L51" s="74"/>
    </row>
    <row r="52" spans="3:12" x14ac:dyDescent="0.2">
      <c r="C52" s="1"/>
      <c r="D52" s="1"/>
      <c r="E52" s="1"/>
      <c r="F52" s="1"/>
      <c r="G52" s="1"/>
      <c r="H52" s="1"/>
      <c r="I52" s="1"/>
      <c r="J52" s="74"/>
      <c r="K52" s="74"/>
      <c r="L52" s="74"/>
    </row>
    <row r="53" spans="3:12" x14ac:dyDescent="0.2">
      <c r="C53" s="27"/>
      <c r="D53" s="1"/>
      <c r="E53" s="1"/>
      <c r="F53" s="1"/>
      <c r="G53" s="1"/>
      <c r="H53" s="1"/>
      <c r="I53" s="1"/>
      <c r="J53" s="74"/>
      <c r="K53" s="74"/>
      <c r="L53" s="74"/>
    </row>
    <row r="54" spans="3:12" x14ac:dyDescent="0.2">
      <c r="C54" s="27"/>
      <c r="D54" s="1"/>
      <c r="E54" s="1"/>
      <c r="F54" s="1"/>
      <c r="G54" s="1"/>
      <c r="H54" s="1"/>
      <c r="I54" s="1"/>
      <c r="J54" s="74"/>
      <c r="K54" s="74"/>
      <c r="L54" s="74"/>
    </row>
    <row r="55" spans="3:12" x14ac:dyDescent="0.2">
      <c r="C55" s="27"/>
      <c r="D55" s="1"/>
      <c r="E55" s="1"/>
      <c r="F55" s="1"/>
      <c r="G55" s="1"/>
      <c r="H55" s="1"/>
      <c r="I55" s="1"/>
      <c r="J55" s="74"/>
      <c r="K55" s="74"/>
      <c r="L55" s="74"/>
    </row>
    <row r="56" spans="3:12" x14ac:dyDescent="0.2">
      <c r="C56" s="27"/>
      <c r="D56" s="1"/>
      <c r="E56" s="1"/>
      <c r="F56" s="1"/>
      <c r="G56" s="1"/>
      <c r="H56" s="1"/>
      <c r="I56" s="1"/>
      <c r="J56" s="74"/>
      <c r="K56" s="74"/>
      <c r="L56" s="74"/>
    </row>
    <row r="57" spans="3:12" x14ac:dyDescent="0.2">
      <c r="C57" s="27"/>
      <c r="D57" s="1"/>
      <c r="E57" s="1"/>
      <c r="F57" s="1"/>
      <c r="G57" s="1"/>
      <c r="H57" s="1"/>
      <c r="I57" s="1"/>
      <c r="J57" s="74"/>
      <c r="K57" s="74"/>
      <c r="L57" s="74"/>
    </row>
    <row r="58" spans="3:12" x14ac:dyDescent="0.2">
      <c r="C58" s="27"/>
      <c r="D58" s="1"/>
      <c r="E58" s="1"/>
      <c r="F58" s="1"/>
      <c r="G58" s="1"/>
      <c r="H58" s="1"/>
      <c r="I58" s="1"/>
      <c r="J58" s="74"/>
      <c r="K58" s="74"/>
      <c r="L58" s="74"/>
    </row>
    <row r="59" spans="3:12" x14ac:dyDescent="0.2">
      <c r="C59" s="1"/>
      <c r="D59" s="1"/>
      <c r="E59" s="1"/>
      <c r="F59" s="1"/>
      <c r="G59" s="1"/>
      <c r="H59" s="1"/>
      <c r="I59" s="1"/>
      <c r="J59" s="74"/>
      <c r="K59" s="74"/>
      <c r="L59" s="74"/>
    </row>
    <row r="60" spans="3:12" ht="19" x14ac:dyDescent="0.25">
      <c r="C60" s="13"/>
      <c r="D60" s="3"/>
      <c r="E60" s="1"/>
      <c r="F60" s="3"/>
      <c r="G60" s="4">
        <f>SUM(G46:G58)</f>
        <v>0</v>
      </c>
      <c r="H60" s="5">
        <f>SUM(H46:H58)</f>
        <v>0</v>
      </c>
      <c r="I60" s="3"/>
      <c r="J60" s="75"/>
      <c r="K60" s="75"/>
      <c r="L60" s="75"/>
    </row>
    <row r="61" spans="3:12" x14ac:dyDescent="0.2">
      <c r="D61" s="38"/>
      <c r="E61" s="38"/>
      <c r="F61" s="38"/>
      <c r="G61" s="38"/>
      <c r="H61" s="38"/>
      <c r="I61" s="38"/>
      <c r="J61" s="38"/>
      <c r="K61" s="38"/>
      <c r="L61" s="38"/>
    </row>
  </sheetData>
  <mergeCells count="104">
    <mergeCell ref="J59:L59"/>
    <mergeCell ref="J60:L60"/>
    <mergeCell ref="J53:L53"/>
    <mergeCell ref="J54:L54"/>
    <mergeCell ref="J55:L55"/>
    <mergeCell ref="J56:L56"/>
    <mergeCell ref="J57:L57"/>
    <mergeCell ref="J58:L58"/>
    <mergeCell ref="J47:L47"/>
    <mergeCell ref="J48:L48"/>
    <mergeCell ref="J49:L49"/>
    <mergeCell ref="J50:L50"/>
    <mergeCell ref="J51:L51"/>
    <mergeCell ref="J52:L52"/>
    <mergeCell ref="D41:E41"/>
    <mergeCell ref="J41:L41"/>
    <mergeCell ref="C42:L43"/>
    <mergeCell ref="C44:L44"/>
    <mergeCell ref="J45:L45"/>
    <mergeCell ref="J46:L46"/>
    <mergeCell ref="D38:E38"/>
    <mergeCell ref="J38:L38"/>
    <mergeCell ref="D39:E39"/>
    <mergeCell ref="J39:L39"/>
    <mergeCell ref="D40:E40"/>
    <mergeCell ref="J40:L40"/>
    <mergeCell ref="D37:E37"/>
    <mergeCell ref="J37:L37"/>
    <mergeCell ref="D34:E34"/>
    <mergeCell ref="J34:L34"/>
    <mergeCell ref="D35:E35"/>
    <mergeCell ref="J35:L35"/>
    <mergeCell ref="D31:E31"/>
    <mergeCell ref="J31:L31"/>
    <mergeCell ref="D32:E32"/>
    <mergeCell ref="J32:L32"/>
    <mergeCell ref="N36:Q36"/>
    <mergeCell ref="D33:E33"/>
    <mergeCell ref="J33:L33"/>
    <mergeCell ref="D28:E28"/>
    <mergeCell ref="J28:L28"/>
    <mergeCell ref="D29:E29"/>
    <mergeCell ref="J29:L29"/>
    <mergeCell ref="D30:E30"/>
    <mergeCell ref="J30:L30"/>
    <mergeCell ref="D36:E36"/>
    <mergeCell ref="J36:L36"/>
    <mergeCell ref="N29:R30"/>
    <mergeCell ref="D27:E27"/>
    <mergeCell ref="J27:L27"/>
    <mergeCell ref="N31:R31"/>
    <mergeCell ref="D23:E23"/>
    <mergeCell ref="J23:L23"/>
    <mergeCell ref="Q27:R27"/>
    <mergeCell ref="D24:E24"/>
    <mergeCell ref="J24:L24"/>
    <mergeCell ref="Q28:R28"/>
    <mergeCell ref="Q25:R25"/>
    <mergeCell ref="D22:E22"/>
    <mergeCell ref="J22:L22"/>
    <mergeCell ref="Q26:R26"/>
    <mergeCell ref="D18:E18"/>
    <mergeCell ref="J18:L18"/>
    <mergeCell ref="N22:R23"/>
    <mergeCell ref="D19:E19"/>
    <mergeCell ref="J19:L19"/>
    <mergeCell ref="D20:E20"/>
    <mergeCell ref="J20:L20"/>
    <mergeCell ref="N24:R24"/>
    <mergeCell ref="D25:E25"/>
    <mergeCell ref="J25:L25"/>
    <mergeCell ref="D26:E26"/>
    <mergeCell ref="J26:L26"/>
    <mergeCell ref="D16:E16"/>
    <mergeCell ref="J16:L16"/>
    <mergeCell ref="Q20:R20"/>
    <mergeCell ref="D17:E17"/>
    <mergeCell ref="J17:L17"/>
    <mergeCell ref="Q21:R21"/>
    <mergeCell ref="C12:L13"/>
    <mergeCell ref="Q16:R16"/>
    <mergeCell ref="Q17:R17"/>
    <mergeCell ref="C14:L14"/>
    <mergeCell ref="Q18:R18"/>
    <mergeCell ref="D15:E15"/>
    <mergeCell ref="J15:L15"/>
    <mergeCell ref="Q19:R19"/>
    <mergeCell ref="N12:R12"/>
    <mergeCell ref="D21:E21"/>
    <mergeCell ref="J21:L21"/>
    <mergeCell ref="I9:K9"/>
    <mergeCell ref="Q13:R13"/>
    <mergeCell ref="I10:K10"/>
    <mergeCell ref="Q14:R14"/>
    <mergeCell ref="I11:K11"/>
    <mergeCell ref="Q15:R15"/>
    <mergeCell ref="I7:K7"/>
    <mergeCell ref="I8:K8"/>
    <mergeCell ref="B2:L2"/>
    <mergeCell ref="N2:P2"/>
    <mergeCell ref="I3:K3"/>
    <mergeCell ref="I4:K4"/>
    <mergeCell ref="I5:K5"/>
    <mergeCell ref="I6:K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Checklist</vt:lpstr>
      <vt:lpstr>Poland</vt:lpstr>
      <vt:lpstr>Japan</vt:lpstr>
      <vt:lpstr>Baltics</vt:lpstr>
      <vt:lpstr>Netherlands</vt:lpstr>
      <vt:lpstr>Denmark</vt:lpstr>
      <vt:lpstr>Sweden</vt:lpstr>
      <vt:lpstr>Italy</vt:lpstr>
      <vt:lpstr>Bayern</vt:lpstr>
      <vt:lpstr>Austria</vt:lpstr>
      <vt:lpstr>Belgium</vt:lpstr>
      <vt:lpstr>Rhine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</dc:creator>
  <cp:lastModifiedBy>Ravi Kumar</cp:lastModifiedBy>
  <dcterms:created xsi:type="dcterms:W3CDTF">2024-07-05T14:20:34Z</dcterms:created>
  <dcterms:modified xsi:type="dcterms:W3CDTF">2026-05-24T05:37:09Z</dcterms:modified>
</cp:coreProperties>
</file>